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db5d55e996c4df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分析總覽" sheetId="1" r:id="Rad0c9024bd0b4ca2"/>
    <x:sheet xmlns:r="http://schemas.openxmlformats.org/officeDocument/2006/relationships" name="分組統計" sheetId="2" r:id="R47db3638eddc4f6b"/>
    <x:sheet xmlns:r="http://schemas.openxmlformats.org/officeDocument/2006/relationships" name="已選資料" sheetId="3" r:id="R9e73c0cf73a04d7d"/>
    <x:sheet xmlns:r="http://schemas.openxmlformats.org/officeDocument/2006/relationships" name="來源證據" sheetId="4" r:id="R74276ff36e0e48df"/>
    <x:sheet xmlns:r="http://schemas.openxmlformats.org/officeDocument/2006/relationships" name="欄位定義" sheetId="5" r:id="Red3b2ce514ee498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.00"/>
    <x:numFmt numFmtId="201" formatCode="0.00000000"/>
    <x:numFmt numFmtId="202" formatCode="yyyy-mm-dd"/>
  </x:numFmts>
  <x:fonts count="14">
    <x:font>
      <x:sz val="11"/>
      <x:name val="Carlito"/>
    </x:font>
    <x:font>
      <x:b/>
      <x:sz val="20"/>
      <x:color rgb="FF071A2F"/>
      <x:name val="Aptos Display"/>
    </x:font>
    <x:font>
      <x:sz val="10"/>
      <x:color rgb="FF5D6B7C"/>
      <x:name val="Aptos"/>
    </x:font>
    <x:font>
      <x:b/>
      <x:sz val="9"/>
      <x:color rgb="FFFFFFFF"/>
      <x:name val="Aptos"/>
    </x:font>
    <x:font>
      <x:sz val="10"/>
      <x:color rgb="FF17263A"/>
      <x:name val="Aptos"/>
    </x:font>
    <x:font>
      <x:b/>
      <x:sz val="10"/>
      <x:color rgb="FFD71920"/>
      <x:name val="Aptos"/>
    </x:font>
    <x:font>
      <x:b/>
      <x:sz val="10"/>
      <x:color rgb="FF071A2F"/>
      <x:name val="Aptos"/>
    </x:font>
    <x:font>
      <x:b/>
      <x:sz val="10"/>
      <x:color rgb="FFFFFFFF"/>
      <x:name val="Aptos"/>
    </x:font>
    <x:font>
      <x:b/>
      <x:sz val="10"/>
      <x:color rgb="FF0B2748"/>
      <x:name val="Aptos"/>
    </x:font>
    <x:font>
      <x:b/>
      <x:sz val="11"/>
      <x:color rgb="FF0B2748"/>
      <x:name val="Aptos"/>
    </x:font>
    <x:font>
      <x:sz val="11"/>
      <x:color rgb="FF17263A"/>
      <x:name val="Carlito"/>
    </x:font>
    <x:font>
      <x:b/>
      <x:sz val="11"/>
      <x:color rgb="FF0B2748"/>
      <x:name val="Carlito"/>
    </x:font>
    <x:font>
      <x:b/>
      <x:sz val="24"/>
      <x:color rgb="FF071A2F"/>
      <x:name val="Carlito"/>
    </x:font>
    <x:font>
      <x:b/>
      <x:sz val="10"/>
      <x:color rgb="FF17263A"/>
      <x:name val="Aptos"/>
    </x:font>
  </x:fonts>
  <x:fills count="7">
    <x:fill>
      <x:patternFill patternType="none"/>
    </x:fill>
    <x:fill>
      <x:patternFill patternType="gray125"/>
    </x:fill>
    <x:fill>
      <x:patternFill patternType="solid">
        <x:fgColor rgb="FF0B2748"/>
      </x:patternFill>
    </x:fill>
    <x:fill>
      <x:patternFill patternType="solid">
        <x:fgColor rgb="FFFCEBEC"/>
      </x:patternFill>
    </x:fill>
    <x:fill>
      <x:patternFill patternType="solid">
        <x:fgColor rgb="FFD71920"/>
      </x:patternFill>
    </x:fill>
    <x:fill>
      <x:patternFill patternType="solid">
        <x:fgColor rgb="FFEAF1F8"/>
      </x:patternFill>
    </x:fill>
    <x:fill>
      <x:patternFill patternType="solid">
        <x:fgColor rgb="FFF4F7FA"/>
      </x:patternFill>
    </x:fill>
  </x:fills>
  <x:borders count="15">
    <x:border/>
    <x:border>
      <x:bottom style="medium">
        <x:color rgb="FFD71920"/>
      </x:bottom>
    </x:border>
    <x:border>
      <x:right style="thin">
        <x:color rgb="FF294661"/>
      </x:right>
    </x:border>
    <x:border>
      <x:left style="thin">
        <x:color rgb="FF294661"/>
      </x:left>
      <x:right style="thin">
        <x:color rgb="FF294661"/>
      </x:right>
    </x:border>
    <x:border>
      <x:left style="thin">
        <x:color rgb="FF294661"/>
      </x:left>
    </x:border>
    <x:border>
      <x:right style="thin">
        <x:color rgb="FFD7DFE8"/>
      </x:right>
      <x:bottom style="thin">
        <x:color rgb="FFD7DFE8"/>
      </x:bottom>
    </x:border>
    <x:border>
      <x:left style="thin">
        <x:color rgb="FFD7DFE8"/>
      </x:left>
      <x:right style="thin">
        <x:color rgb="FFD7DFE8"/>
      </x:right>
      <x:bottom style="thin">
        <x:color rgb="FFD7DFE8"/>
      </x:bottom>
    </x:border>
    <x:border>
      <x:left style="thin">
        <x:color rgb="FFD7DFE8"/>
      </x:left>
      <x:bottom style="thin">
        <x:color rgb="FFD7DFE8"/>
      </x:bottom>
    </x:border>
    <x:border>
      <x:right style="thin">
        <x:color rgb="FFD7DFE8"/>
      </x:right>
      <x:top style="thin">
        <x:color rgb="FFD7DFE8"/>
      </x:top>
      <x:bottom style="thin">
        <x:color rgb="FFD7DFE8"/>
      </x:bottom>
    </x:border>
    <x:border>
      <x:left style="thin">
        <x:color rgb="FFD7DFE8"/>
      </x:left>
      <x:right style="thin">
        <x:color rgb="FFD7DFE8"/>
      </x:right>
      <x:top style="thin">
        <x:color rgb="FFD7DFE8"/>
      </x:top>
      <x:bottom style="thin">
        <x:color rgb="FFD7DFE8"/>
      </x:bottom>
    </x:border>
    <x:border>
      <x:left style="thin">
        <x:color rgb="FFD7DFE8"/>
      </x:left>
      <x:top style="thin">
        <x:color rgb="FFD7DFE8"/>
      </x:top>
      <x:bottom style="thin">
        <x:color rgb="FFD7DFE8"/>
      </x:bottom>
    </x:border>
    <x:border>
      <x:right style="thin">
        <x:color rgb="FFD7DFE8"/>
      </x:right>
      <x:top style="thin">
        <x:color rgb="FFD7DFE8"/>
      </x:top>
    </x:border>
    <x:border>
      <x:left style="thin">
        <x:color rgb="FFD7DFE8"/>
      </x:left>
      <x:right style="thin">
        <x:color rgb="FFD7DFE8"/>
      </x:right>
      <x:top style="thin">
        <x:color rgb="FFD7DFE8"/>
      </x:top>
    </x:border>
    <x:border>
      <x:left style="thin">
        <x:color rgb="FFD7DFE8"/>
      </x:left>
      <x:top style="thin">
        <x:color rgb="FFD7DFE8"/>
      </x:top>
    </x:border>
    <x:border>
      <x:bottom style="thin">
        <x:color rgb="FFD7DFE8"/>
      </x:bottom>
    </x:border>
  </x:borders>
  <x:cellStyleXfs count="1">
    <x:xf numFmtId="0" fontId="0" fillId="0" borderId="0"/>
  </x:cellStyleXfs>
  <x:cellXfs count="13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vertical="center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2" xfId="0" applyNumberFormat="1" applyFont="1" applyFill="1" applyBorder="1"/>
    <x:xf numFmtId="0" fontId="3" fillId="2" borderId="3" xfId="0" applyNumberFormat="1" applyFont="1" applyFill="1" applyBorder="1"/>
    <x:xf numFmtId="0" fontId="3" fillId="2" borderId="4" xfId="0" applyNumberFormat="1" applyFont="1" applyFill="1" applyBorder="1"/>
    <x:xf numFmtId="0" fontId="3" fillId="2" borderId="2" xfId="0" applyNumberFormat="1" applyFont="1" applyFill="1" applyBorder="1" applyAlignment="1">
      <x:alignment wrapText="1"/>
    </x:xf>
    <x:xf numFmtId="0" fontId="3" fillId="2" borderId="3" xfId="0" applyNumberFormat="1" applyFont="1" applyFill="1" applyBorder="1" applyAlignment="1">
      <x:alignment wrapText="1"/>
    </x:xf>
    <x:xf numFmtId="0" fontId="3" fillId="2" borderId="4" xfId="0" applyNumberFormat="1" applyFont="1" applyFill="1" applyBorder="1" applyAlignment="1">
      <x:alignment wrapText="1"/>
    </x:xf>
    <x:xf numFmtId="0" fontId="3" fillId="2" borderId="2" xfId="0" applyNumberFormat="1" applyFont="1" applyFill="1" applyBorder="1" applyAlignment="1">
      <x:alignment vertical="center" wrapText="1"/>
    </x:xf>
    <x:xf numFmtId="0" fontId="3" fillId="2" borderId="3" xfId="0" applyNumberFormat="1" applyFont="1" applyFill="1" applyBorder="1" applyAlignment="1">
      <x:alignment vertical="center" wrapText="1"/>
    </x:xf>
    <x:xf numFmtId="0" fontId="3" fillId="2" borderId="4" xfId="0" applyNumberFormat="1" applyFont="1" applyFill="1" applyBorder="1" applyAlignment="1">
      <x:alignment vertical="center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6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7" xfId="0" applyNumberFormat="1" applyFont="1" applyFill="1" applyBorder="1"/>
    <x:xf numFmtId="0" fontId="4" fillId="0" borderId="8" xfId="0" applyNumberFormat="1" applyFont="1" applyFill="1" applyBorder="1"/>
    <x:xf numFmtId="0" fontId="4" fillId="0" borderId="9" xfId="0" applyNumberFormat="1" applyFont="1" applyFill="1" applyBorder="1"/>
    <x:xf numFmtId="0" fontId="4" fillId="0" borderId="9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10" xfId="0" applyNumberFormat="1" applyFont="1" applyFill="1" applyBorder="1"/>
    <x:xf numFmtId="0" fontId="4" fillId="0" borderId="11" xfId="0" applyNumberFormat="1" applyFont="1" applyFill="1" applyBorder="1"/>
    <x:xf numFmtId="0" fontId="4" fillId="0" borderId="12" xfId="0" applyNumberFormat="1" applyFont="1" applyFill="1" applyBorder="1"/>
    <x:xf numFmtId="0" fontId="4" fillId="0" borderId="1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13" xfId="0" applyNumberFormat="1" applyFont="1" applyFill="1" applyBorder="1"/>
    <x:xf numFmtId="0" fontId="4" fillId="0" borderId="5" xfId="0" applyNumberFormat="1" applyFont="1" applyFill="1" applyBorder="1" applyAlignment="1">
      <x:alignment vertical="top"/>
    </x:xf>
    <x:xf numFmtId="0" fontId="4" fillId="0" borderId="6" xfId="0" applyNumberFormat="1" applyFont="1" applyFill="1" applyBorder="1" applyAlignment="1">
      <x:alignment vertical="top"/>
    </x:xf>
    <x:xf numFmtId="0" fontId="4" fillId="0" borderId="6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7" xfId="0" applyNumberFormat="1" applyFont="1" applyFill="1" applyBorder="1" applyAlignment="1">
      <x:alignment vertical="top"/>
    </x:xf>
    <x:xf numFmtId="0" fontId="4" fillId="0" borderId="8" xfId="0" applyNumberFormat="1" applyFont="1" applyFill="1" applyBorder="1" applyAlignment="1">
      <x:alignment vertical="top"/>
    </x:xf>
    <x:xf numFmtId="0" fontId="4" fillId="0" borderId="9" xfId="0" applyNumberFormat="1" applyFont="1" applyFill="1" applyBorder="1" applyAlignment="1">
      <x:alignment vertical="top"/>
    </x:xf>
    <x:xf numFmtId="0" fontId="4" fillId="0" borderId="9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10" xfId="0" applyNumberFormat="1" applyFont="1" applyFill="1" applyBorder="1" applyAlignment="1">
      <x:alignment vertical="top"/>
    </x:xf>
    <x:xf numFmtId="0" fontId="4" fillId="0" borderId="11" xfId="0" applyNumberFormat="1" applyFont="1" applyFill="1" applyBorder="1" applyAlignment="1">
      <x:alignment vertical="top"/>
    </x:xf>
    <x:xf numFmtId="0" fontId="4" fillId="0" borderId="12" xfId="0" applyNumberFormat="1" applyFont="1" applyFill="1" applyBorder="1" applyAlignment="1">
      <x:alignment vertical="top"/>
    </x:xf>
    <x:xf numFmtId="0" fontId="4" fillId="0" borderId="1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13" xfId="0" applyNumberFormat="1" applyFont="1" applyFill="1" applyBorder="1" applyAlignment="1">
      <x:alignment vertical="top"/>
    </x:xf>
    <x:xf numFmtId="0" fontId="4" fillId="3" borderId="6" xfId="0" applyNumberFormat="1" applyFont="1" applyFill="1" applyBorder="1" applyAlignment="1">
      <x:alignment vertical="top"/>
    </x:xf>
    <x:xf numFmtId="0" fontId="4" fillId="3" borderId="9" xfId="0" applyNumberFormat="1" applyFont="1" applyFill="1" applyBorder="1" applyAlignment="1">
      <x:alignment vertical="top"/>
    </x:xf>
    <x:xf numFmtId="0" fontId="4" fillId="3" borderId="12" xfId="0" applyNumberFormat="1" applyFont="1" applyFill="1" applyBorder="1" applyAlignment="1">
      <x:alignment vertical="top"/>
    </x:xf>
    <x:xf numFmtId="0" fontId="5" fillId="3" borderId="6" xfId="0" applyNumberFormat="1" applyFont="1" applyFill="1" applyBorder="1" applyAlignment="1">
      <x:alignment vertical="top"/>
    </x:xf>
    <x:xf numFmtId="0" fontId="5" fillId="3" borderId="9" xfId="0" applyNumberFormat="1" applyFont="1" applyFill="1" applyBorder="1" applyAlignment="1">
      <x:alignment vertical="top"/>
    </x:xf>
    <x:xf numFmtId="0" fontId="5" fillId="3" borderId="12" xfId="0" applyNumberFormat="1" applyFont="1" applyFill="1" applyBorder="1" applyAlignment="1">
      <x:alignment vertical="top"/>
    </x:xf>
    <x:xf numFmtId="0" fontId="5" fillId="3" borderId="6" xfId="0" applyNumberFormat="1" applyFont="1" applyFill="1" applyBorder="1" applyAlignment="1">
      <x:alignment horizontal="center" vertical="top"/>
    </x:xf>
    <x:xf numFmtId="0" fontId="5" fillId="3" borderId="9" xfId="0" applyNumberFormat="1" applyFont="1" applyFill="1" applyBorder="1" applyAlignment="1">
      <x:alignment horizontal="center" vertical="top"/>
    </x:xf>
    <x:xf numFmtId="0" fontId="5" fillId="3" borderId="12" xfId="0" applyNumberFormat="1" applyFont="1" applyFill="1" applyBorder="1" applyAlignment="1">
      <x:alignment horizontal="center" vertical="top"/>
    </x:xf>
    <x:xf numFmtId="200" fontId="4" fillId="0" borderId="6" xfId="0" applyNumberFormat="1" applyFont="1" applyFill="1" applyBorder="1" applyAlignment="1">
      <x:alignment vertical="top"/>
    </x:xf>
    <x:xf numFmtId="200" fontId="4" fillId="0" borderId="9" xfId="0" applyNumberFormat="1" applyFont="1" applyFill="1" applyBorder="1" applyAlignment="1">
      <x:alignment vertical="top"/>
    </x:xf>
    <x:xf numFmtId="200" fontId="4" fillId="0" borderId="12" xfId="0" applyNumberFormat="1" applyFont="1" applyFill="1" applyBorder="1" applyAlignment="1">
      <x:alignment vertical="top"/>
    </x:xf>
    <x:xf numFmtId="201" fontId="4" fillId="0" borderId="6" xfId="0" applyNumberFormat="1" applyFont="1" applyFill="1" applyBorder="1" applyAlignment="1">
      <x:alignment vertical="top"/>
    </x:xf>
    <x:xf numFmtId="201" fontId="4" fillId="0" borderId="9" xfId="0" applyNumberFormat="1" applyFont="1" applyFill="1" applyBorder="1" applyAlignment="1">
      <x:alignment vertical="top"/>
    </x:xf>
    <x:xf numFmtId="201" fontId="4" fillId="0" borderId="12" xfId="0" applyNumberFormat="1" applyFont="1" applyFill="1" applyBorder="1" applyAlignment="1">
      <x:alignment vertical="top"/>
    </x:xf>
    <x:xf numFmtId="200" fontId="6" fillId="0" borderId="6" xfId="0" applyNumberFormat="1" applyFont="1" applyFill="1" applyBorder="1" applyAlignment="1">
      <x:alignment vertical="top"/>
    </x:xf>
    <x:xf numFmtId="200" fontId="6" fillId="0" borderId="9" xfId="0" applyNumberFormat="1" applyFont="1" applyFill="1" applyBorder="1" applyAlignment="1">
      <x:alignment vertical="top"/>
    </x:xf>
    <x:xf numFmtId="200" fontId="6" fillId="0" borderId="12" xfId="0" applyNumberFormat="1" applyFont="1" applyFill="1" applyBorder="1" applyAlignment="1">
      <x:alignment vertical="top"/>
    </x:xf>
    <x:xf numFmtId="202" fontId="4" fillId="0" borderId="6" xfId="0" applyNumberFormat="1" applyFont="1" applyFill="1" applyBorder="1" applyAlignment="1">
      <x:alignment vertical="top"/>
    </x:xf>
    <x:xf numFmtId="202" fontId="4" fillId="0" borderId="9" xfId="0" applyNumberFormat="1" applyFont="1" applyFill="1" applyBorder="1" applyAlignment="1">
      <x:alignment vertical="top"/>
    </x:xf>
    <x:xf numFmtId="202" fontId="4" fillId="0" borderId="12" xfId="0" applyNumberFormat="1" applyFont="1" applyFill="1" applyBorder="1" applyAlignment="1">
      <x:alignment vertical="top"/>
    </x:xf>
    <x:xf numFmtId="0" fontId="4" fillId="4" borderId="5" xfId="0" applyNumberFormat="1" applyFont="1" applyFill="1" applyBorder="1" applyAlignment="1">
      <x:alignment vertical="top"/>
    </x:xf>
    <x:xf numFmtId="0" fontId="4" fillId="4" borderId="8" xfId="0" applyNumberFormat="1" applyFont="1" applyFill="1" applyBorder="1" applyAlignment="1">
      <x:alignment vertical="top"/>
    </x:xf>
    <x:xf numFmtId="0" fontId="4" fillId="4" borderId="11" xfId="0" applyNumberFormat="1" applyFont="1" applyFill="1" applyBorder="1" applyAlignment="1">
      <x:alignment vertical="top"/>
    </x:xf>
    <x:xf numFmtId="0" fontId="7" fillId="4" borderId="5" xfId="0" applyNumberFormat="1" applyFont="1" applyFill="1" applyBorder="1" applyAlignment="1">
      <x:alignment vertical="top"/>
    </x:xf>
    <x:xf numFmtId="0" fontId="7" fillId="4" borderId="8" xfId="0" applyNumberFormat="1" applyFont="1" applyFill="1" applyBorder="1" applyAlignment="1">
      <x:alignment vertical="top"/>
    </x:xf>
    <x:xf numFmtId="0" fontId="7" fillId="4" borderId="11" xfId="0" applyNumberFormat="1" applyFont="1" applyFill="1" applyBorder="1" applyAlignment="1">
      <x:alignment vertical="top"/>
    </x:xf>
    <x:xf numFmtId="0" fontId="7" fillId="4" borderId="5" xfId="0" applyNumberFormat="1" applyFont="1" applyFill="1" applyBorder="1" applyAlignment="1">
      <x:alignment horizontal="center" vertical="top"/>
    </x:xf>
    <x:xf numFmtId="0" fontId="7" fillId="4" borderId="8" xfId="0" applyNumberFormat="1" applyFont="1" applyFill="1" applyBorder="1" applyAlignment="1">
      <x:alignment horizontal="center" vertical="top"/>
    </x:xf>
    <x:xf numFmtId="0" fontId="7" fillId="4" borderId="11" xfId="0" applyNumberFormat="1" applyFont="1" applyFill="1" applyBorder="1" applyAlignment="1">
      <x:alignment horizontal="center" vertical="top"/>
    </x:xf>
    <x:xf numFmtId="0" fontId="4" fillId="5" borderId="6" xfId="0" applyNumberFormat="1" applyFont="1" applyFill="1" applyBorder="1" applyAlignment="1">
      <x:alignment vertical="top"/>
    </x:xf>
    <x:xf numFmtId="0" fontId="4" fillId="5" borderId="9" xfId="0" applyNumberFormat="1" applyFont="1" applyFill="1" applyBorder="1" applyAlignment="1">
      <x:alignment vertical="top"/>
    </x:xf>
    <x:xf numFmtId="0" fontId="4" fillId="5" borderId="12" xfId="0" applyNumberFormat="1" applyFont="1" applyFill="1" applyBorder="1" applyAlignment="1">
      <x:alignment vertical="top"/>
    </x:xf>
    <x:xf numFmtId="0" fontId="8" fillId="5" borderId="6" xfId="0" applyNumberFormat="1" applyFont="1" applyFill="1" applyBorder="1" applyAlignment="1">
      <x:alignment vertical="top"/>
    </x:xf>
    <x:xf numFmtId="0" fontId="8" fillId="5" borderId="9" xfId="0" applyNumberFormat="1" applyFont="1" applyFill="1" applyBorder="1" applyAlignment="1">
      <x:alignment vertical="top"/>
    </x:xf>
    <x:xf numFmtId="0" fontId="8" fillId="5" borderId="12" xfId="0" applyNumberFormat="1" applyFont="1" applyFill="1" applyBorder="1" applyAlignment="1">
      <x:alignment vertical="top"/>
    </x:xf>
    <x:xf numFmtId="0" fontId="8" fillId="5" borderId="6" xfId="0" applyNumberFormat="1" applyFont="1" applyFill="1" applyBorder="1" applyAlignment="1">
      <x:alignment horizontal="center" vertical="top"/>
    </x:xf>
    <x:xf numFmtId="0" fontId="8" fillId="5" borderId="9" xfId="0" applyNumberFormat="1" applyFont="1" applyFill="1" applyBorder="1" applyAlignment="1">
      <x:alignment horizontal="center" vertical="top"/>
    </x:xf>
    <x:xf numFmtId="0" fontId="8" fillId="5" borderId="12" xfId="0" applyNumberFormat="1" applyFont="1" applyFill="1" applyBorder="1" applyAlignment="1">
      <x:alignment horizontal="center" vertical="top"/>
    </x:xf>
    <x:xf numFmtId="200" fontId="4" fillId="0" borderId="7" xfId="0" applyNumberFormat="1" applyFont="1" applyFill="1" applyBorder="1" applyAlignment="1">
      <x:alignment vertical="top"/>
    </x:xf>
    <x:xf numFmtId="200" fontId="4" fillId="0" borderId="10" xfId="0" applyNumberFormat="1" applyFont="1" applyFill="1" applyBorder="1" applyAlignment="1">
      <x:alignment vertical="top"/>
    </x:xf>
    <x:xf numFmtId="200" fontId="4" fillId="0" borderId="13" xfId="0" applyNumberFormat="1" applyFont="1" applyFill="1" applyBorder="1" applyAlignment="1">
      <x:alignment vertical="top"/>
    </x:xf>
    <x:xf numFmtId="200" fontId="6" fillId="0" borderId="7" xfId="0" applyNumberFormat="1" applyFont="1" applyFill="1" applyBorder="1" applyAlignment="1">
      <x:alignment vertical="top"/>
    </x:xf>
    <x:xf numFmtId="200" fontId="6" fillId="0" borderId="10" xfId="0" applyNumberFormat="1" applyFont="1" applyFill="1" applyBorder="1" applyAlignment="1">
      <x:alignment vertical="top"/>
    </x:xf>
    <x:xf numFmtId="200" fontId="6" fillId="0" borderId="13" xfId="0" applyNumberFormat="1" applyFont="1" applyFill="1" applyBorder="1" applyAlignment="1">
      <x:alignment vertical="top"/>
    </x:xf>
    <x:xf numFmtId="0" fontId="0" fillId="5" borderId="0" xfId="0" applyNumberFormat="1" applyFont="1" applyFill="1" applyBorder="1"/>
    <x:xf numFmtId="0" fontId="9" fillId="5" borderId="0" xfId="0" applyNumberFormat="1" applyFont="1" applyFill="1" applyBorder="1"/>
    <x:xf numFmtId="0" fontId="9" fillId="5" borderId="14" xfId="0" applyNumberFormat="1" applyFont="1" applyFill="1" applyBorder="1"/>
    <x:xf numFmtId="0" fontId="9" fillId="5" borderId="14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/>
    <x:xf numFmtId="0" fontId="10" fillId="6" borderId="0" xfId="0" applyNumberFormat="1" applyFont="1" applyFill="1" applyBorder="1"/>
    <x:xf numFmtId="0" fontId="10" fillId="6" borderId="0" xfId="0" applyNumberFormat="1" applyFont="1" applyFill="1" applyBorder="1" applyAlignment="1">
      <x:alignment wrapText="1"/>
    </x:xf>
    <x:xf numFmtId="0" fontId="11" fillId="5" borderId="0" xfId="0" applyNumberFormat="1" applyFont="1" applyFill="1" applyBorder="1"/>
    <x:xf numFmtId="0" fontId="11" fillId="5" borderId="0" xfId="0" applyNumberFormat="1" applyFont="1" applyFill="1" applyBorder="1" applyAlignment="1">
      <x:alignment horizontal="center"/>
    </x:xf>
    <x:xf numFmtId="0" fontId="12" fillId="0" borderId="0" xfId="0" applyNumberFormat="1" applyFont="1" applyFill="1" applyBorder="1"/>
    <x:xf numFmtId="0" fontId="12" fillId="0" borderId="14" xfId="0" applyNumberFormat="1" applyFont="1" applyFill="1" applyBorder="1"/>
    <x:xf numFmtId="0" fontId="12" fillId="0" borderId="0" xfId="0" applyNumberFormat="1" applyFont="1" applyFill="1" applyBorder="1" applyAlignment="1">
      <x:alignment horizontal="center"/>
    </x:xf>
    <x:xf numFmtId="0" fontId="12" fillId="0" borderId="14" xfId="0" applyNumberFormat="1" applyFont="1" applyFill="1" applyBorder="1" applyAlignment="1">
      <x:alignment horizontal="center"/>
    </x:xf>
    <x:xf numFmtId="0" fontId="12" fillId="0" borderId="0" xfId="0" applyNumberFormat="1" applyFont="1" applyFill="1" applyBorder="1" applyAlignment="1">
      <x:alignment horizontal="center" vertical="center"/>
    </x:xf>
    <x:xf numFmtId="0" fontId="12" fillId="0" borderId="14" xfId="0" applyNumberFormat="1" applyFont="1" applyFill="1" applyBorder="1" applyAlignment="1">
      <x:alignment horizontal="center" vertical="center"/>
    </x:xf>
    <x:xf numFmtId="0" fontId="11" fillId="6" borderId="0" xfId="0" applyNumberFormat="1" applyFont="1" applyFill="1" applyBorder="1"/>
    <x:xf numFmtId="0" fontId="13" fillId="6" borderId="0" xfId="0" applyNumberFormat="1" applyFont="1" applyFill="1" applyBorder="1"/>
    <x:xf numFmtId="0" fontId="13" fillId="6" borderId="5" xfId="0" applyNumberFormat="1" applyFont="1" applyFill="1" applyBorder="1"/>
    <x:xf numFmtId="0" fontId="13" fillId="6" borderId="8" xfId="0" applyNumberFormat="1" applyFont="1" applyFill="1" applyBorder="1"/>
    <x:xf numFmtId="0" fontId="13" fillId="6" borderId="11" xfId="0" applyNumberFormat="1" applyFont="1" applyFill="1" applyBorder="1"/>
    <x:xf numFmtId="0" fontId="13" fillId="6" borderId="5" xfId="0" applyNumberFormat="1" applyFont="1" applyFill="1" applyBorder="1" applyAlignment="1">
      <x:alignment vertical="top"/>
    </x:xf>
    <x:xf numFmtId="0" fontId="13" fillId="6" borderId="8" xfId="0" applyNumberFormat="1" applyFont="1" applyFill="1" applyBorder="1" applyAlignment="1">
      <x:alignment vertical="top"/>
    </x:xf>
    <x:xf numFmtId="0" fontId="13" fillId="6" borderId="11" xfId="0" applyNumberFormat="1" applyFont="1" applyFill="1" applyBorder="1" applyAlignment="1">
      <x:alignment vertical="top"/>
    </x:xf>
    <x:xf numFmtId="0" fontId="0" fillId="3" borderId="0" xfId="0" applyNumberFormat="1" applyFont="1" applyFill="1" applyBorder="1"/>
    <x:xf numFmtId="0" fontId="10" fillId="3" borderId="0" xfId="0" applyNumberFormat="1" applyFont="1" applyFill="1" applyBorder="1"/>
    <x:xf numFmtId="0" fontId="10" fillId="3" borderId="0" xfId="0" applyNumberFormat="1" applyFont="1" applyFill="1" applyBorder="1" applyAlignment="1">
      <x:alignment wrapText="1"/>
    </x:xf>
    <x:xf numFmtId="0" fontId="4" fillId="6" borderId="5" xfId="0" applyNumberFormat="1" applyFont="1" applyFill="1" applyBorder="1" applyAlignment="1">
      <x:alignment vertical="top"/>
    </x:xf>
    <x:xf numFmtId="0" fontId="4" fillId="6" borderId="8" xfId="0" applyNumberFormat="1" applyFont="1" applyFill="1" applyBorder="1" applyAlignment="1">
      <x:alignment vertical="top"/>
    </x:xf>
    <x:xf numFmtId="0" fontId="4" fillId="6" borderId="11" xfId="0" applyNumberFormat="1" applyFont="1" applyFill="1" applyBorder="1" applyAlignment="1">
      <x:alignment vertical="top"/>
    </x:xf>
    <x:xf numFmtId="0" fontId="8" fillId="6" borderId="5" xfId="0" applyNumberFormat="1" applyFont="1" applyFill="1" applyBorder="1" applyAlignment="1">
      <x:alignment vertical="top"/>
    </x:xf>
    <x:xf numFmtId="0" fontId="8" fillId="6" borderId="8" xfId="0" applyNumberFormat="1" applyFont="1" applyFill="1" applyBorder="1" applyAlignment="1">
      <x:alignment vertical="top"/>
    </x:xf>
    <x:xf numFmtId="0" fontId="8" fillId="6" borderId="11" xfId="0" applyNumberFormat="1" applyFont="1" applyFill="1" applyBorder="1" applyAlignment="1">
      <x:alignment vertical="top"/>
    </x:xf>
    <x:xf numFmtId="0" fontId="8" fillId="6" borderId="5" xfId="0" applyNumberFormat="1" applyFont="1" applyFill="1" applyBorder="1" applyAlignment="1">
      <x:alignment vertical="top" wrapText="1"/>
    </x:xf>
    <x:xf numFmtId="0" fontId="4" fillId="0" borderId="6" xfId="0" applyNumberFormat="1" applyFont="1" applyFill="1" applyBorder="1" applyAlignment="1">
      <x:alignment vertical="top" wrapText="1"/>
    </x:xf>
    <x:xf numFmtId="0" fontId="4" fillId="0" borderId="7" xfId="0" applyNumberFormat="1" applyFont="1" applyFill="1" applyBorder="1" applyAlignment="1">
      <x:alignment vertical="top" wrapText="1"/>
    </x:xf>
    <x:xf numFmtId="0" fontId="8" fillId="6" borderId="8" xfId="0" applyNumberFormat="1" applyFont="1" applyFill="1" applyBorder="1" applyAlignment="1">
      <x:alignment vertical="top" wrapText="1"/>
    </x:xf>
    <x:xf numFmtId="0" fontId="4" fillId="0" borderId="9" xfId="0" applyNumberFormat="1" applyFont="1" applyFill="1" applyBorder="1" applyAlignment="1">
      <x:alignment vertical="top" wrapText="1"/>
    </x:xf>
    <x:xf numFmtId="0" fontId="4" fillId="0" borderId="10" xfId="0" applyNumberFormat="1" applyFont="1" applyFill="1" applyBorder="1" applyAlignment="1">
      <x:alignment vertical="top" wrapText="1"/>
    </x:xf>
    <x:xf numFmtId="0" fontId="8" fillId="6" borderId="11" xfId="0" applyNumberFormat="1" applyFont="1" applyFill="1" applyBorder="1" applyAlignment="1">
      <x:alignment vertical="top" wrapText="1"/>
    </x:xf>
    <x:xf numFmtId="0" fontId="4" fillId="0" borderId="12" xfId="0" applyNumberFormat="1" applyFont="1" applyFill="1" applyBorder="1" applyAlignment="1">
      <x:alignment vertical="top" wrapText="1"/>
    </x:xf>
    <x:xf numFmtId="0" fontId="4" fillId="0" borderId="13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fe392f439274c9b" /><Relationship Type="http://schemas.openxmlformats.org/officeDocument/2006/relationships/theme" Target="/xl/theme/theme1.xml" Id="R7e365ef396a14d35" /><Relationship Type="http://schemas.microsoft.com/office/2022/11/relationships/FeaturePropertyBag" Target="/xl/featurePropertyBag/featurePropertyBag.xml" Id="R1036861615c449c5" /><Relationship Type="http://schemas.openxmlformats.org/officeDocument/2006/relationships/sharedStrings" Target="/xl/sharedStrings.xml" Id="R8963f6ff421d437b" /><Relationship Type="http://schemas.openxmlformats.org/officeDocument/2006/relationships/worksheet" Target="/xl/worksheets/sheet1.xml" Id="Rad0c9024bd0b4ca2" /><Relationship Type="http://schemas.openxmlformats.org/officeDocument/2006/relationships/worksheet" Target="/xl/worksheets/sheet2.xml" Id="R47db3638eddc4f6b" /><Relationship Type="http://schemas.openxmlformats.org/officeDocument/2006/relationships/worksheet" Target="/xl/worksheets/sheet3.xml" Id="R9e73c0cf73a04d7d" /><Relationship Type="http://schemas.openxmlformats.org/officeDocument/2006/relationships/worksheet" Target="/xl/worksheets/sheet4.xml" Id="R74276ff36e0e48df" /><Relationship Type="http://schemas.openxmlformats.org/officeDocument/2006/relationships/worksheet" Target="/xl/worksheets/sheet5.xml" Id="Red3b2ce514ee498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SelectedRecordsTable" displayName="SelectedRecordsTable" ref="A5:U12" headerRowCount="1" totalsRowCount="0" totalsRowShown="0">
  <x:tableColumns count="21">
    <x:tableColumn id="1" name="record_id"/>
    <x:tableColumn id="2" name="group"/>
    <x:tableColumn id="3" name="dataset"/>
    <x:tableColumn id="4" name="item"/>
    <x:tableColumn id="5" name="標準描述"/>
    <x:tableColumn id="6" name="原文描述"/>
    <x:tableColumn id="7" name="price_semantic"/>
    <x:tableColumn id="8" name="unit"/>
    <x:tableColumn id="9" name="quote_type"/>
    <x:tableColumn id="10" name="scope"/>
    <x:tableColumn id="11" name="basis"/>
    <x:tableColumn id="12" name="transport"/>
    <x:tableColumn id="13" name="currency"/>
    <x:tableColumn id="14" name="original"/>
    <x:tableColumn id="15" name="FX"/>
    <x:tableColumn id="16" name="MOP"/>
    <x:tableColumn id="17" name="date"/>
    <x:tableColumn id="18" name="counterparty / project"/>
    <x:tableColumn id="19" name="曾選用"/>
    <x:tableColumn id="20" name="document"/>
    <x:tableColumn id="21" name="locato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ourceEvidenceTable" displayName="SourceEvidenceTable" ref="A5:K12" headerRowCount="1" totalsRowCount="0" totalsRowShown="0">
  <x:tableColumns count="11">
    <x:tableColumn id="1" name="record_id"/>
    <x:tableColumn id="2" name="group"/>
    <x:tableColumn id="3" name="document"/>
    <x:tableColumn id="4" name="filename"/>
    <x:tableColumn id="5" name="date"/>
    <x:tableColumn id="6" name="locator"/>
    <x:tableColumn id="7" name="raw description"/>
    <x:tableColumn id="8" name="raw value"/>
    <x:tableColumn id="9" name="MOP"/>
    <x:tableColumn id="10" name="曾選用"/>
    <x:tableColumn id="11" name="confirmation evide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FieldDefinitionsTable" displayName="FieldDefinitionsTable" ref="A5:D15" headerRowCount="1" totalsRowCount="0" totalsRowShown="0">
  <x:tableColumns count="4">
    <x:tableColumn id="1" name="field"/>
    <x:tableColumn id="2" name="中文名稱"/>
    <x:tableColumn id="3" name="definition"/>
    <x:tableColumn id="4" name="analytics effec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07428b523d45489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d12154f8e25e438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45f973accf9e4c9a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8" hidden="0" customWidth="1"/>
    <x:col min="2" max="2" width="11" hidden="0" customWidth="1"/>
    <x:col min="3" max="3" width="16" hidden="0" customWidth="1"/>
    <x:col min="4" max="4" width="16" hidden="0" customWidth="1"/>
    <x:col min="5" max="5" width="27" hidden="0" customWidth="1"/>
    <x:col min="6" max="6" width="17" hidden="0" customWidth="1"/>
    <x:col min="7" max="7" width="17" hidden="0" customWidth="1"/>
    <x:col min="8" max="8" width="27" hidden="0" customWidth="1"/>
    <x:col min="9" max="9" width="21" hidden="0" customWidth="1"/>
    <x:col min="10" max="10" width="21" hidden="0" customWidth="1"/>
  </x:cols>
  <x:sheetData>
    <x:row r="2" ht="34" customHeight="1">
      <x:c r="A2" s="2" t="str">
        <x:v>JWC Search Analytics｜AL01 分析總覽</x:v>
      </x:c>
      <x:c r="B2" s="2"/>
      <x:c r="C2" s="2"/>
      <x:c r="D2" s="2"/>
      <x:c r="E2" s="2"/>
      <x:c r="F2" s="2"/>
      <x:c r="G2" s="2"/>
      <x:c r="H2" s="2"/>
      <x:c r="I2" s="2"/>
      <x:c r="J2" s="2"/>
    </x:row>
    <x:row r="3" ht="24" customHeight="1">
      <x:c r="A3" s="5" t="str">
        <x:v>生成時間 2026-09-08 12:00 HKT · 網站比較工作區的可攜式報告</x:v>
      </x:c>
      <x:c r="B3" s="5"/>
      <x:c r="C3" s="5"/>
      <x:c r="D3" s="5"/>
      <x:c r="E3" s="5"/>
      <x:c r="F3" s="5"/>
      <x:c r="G3" s="5"/>
      <x:c r="H3" s="5"/>
      <x:c r="I3" s="5"/>
      <x:c r="J3" s="5"/>
    </x:row>
    <x:row r="5" ht="25" customHeight="1">
      <x:c r="A5" s="97" t="str">
        <x:v>選取筆數｜Selected records</x:v>
      </x:c>
      <x:c r="B5" s="97"/>
      <x:c r="C5" s="97"/>
      <x:c r="D5" s="97"/>
      <x:c r="E5" s="97"/>
      <x:c r="F5" s="97" t="str">
        <x:v>分析組數｜Analytics groups</x:v>
      </x:c>
      <x:c r="G5" s="97"/>
      <x:c r="H5" s="97"/>
      <x:c r="I5" s="97"/>
      <x:c r="J5" s="97"/>
    </x:row>
    <x:row r="6" ht="25" customHeight="1">
      <x:c r="A6" s="102" t="n">
        <x:v>7</x:v>
      </x:c>
      <x:c r="B6" s="102"/>
      <x:c r="C6" s="102"/>
      <x:c r="D6" s="102"/>
      <x:c r="E6" s="102"/>
      <x:c r="F6" s="102" t="n">
        <x:v>3</x:v>
      </x:c>
      <x:c r="G6" s="102"/>
      <x:c r="H6" s="102"/>
      <x:c r="I6" s="102"/>
      <x:c r="J6" s="102"/>
    </x:row>
    <x:row r="7" ht="25" customHeight="1">
      <x:c r="A7" s="103"/>
      <x:c r="B7" s="103"/>
      <x:c r="C7" s="103"/>
      <x:c r="D7" s="103"/>
      <x:c r="E7" s="103"/>
      <x:c r="F7" s="103"/>
      <x:c r="G7" s="103"/>
      <x:c r="H7" s="103"/>
      <x:c r="I7" s="103"/>
      <x:c r="J7" s="103"/>
    </x:row>
    <x:row r="9" ht="24" customHeight="1">
      <x:c r="A9" s="92" t="str">
        <x:v>查詢內容｜Query context</x:v>
      </x:c>
      <x:c r="B9" s="92" t="str">
        <x:v>查詢內容｜Query context</x:v>
      </x:c>
      <x:c r="C9" s="92" t="str">
        <x:v>查詢內容｜Query context</x:v>
      </x:c>
      <x:c r="D9" s="92" t="str">
        <x:v>查詢內容｜Query context</x:v>
      </x:c>
      <x:c r="E9" s="92" t="str">
        <x:v>查詢內容｜Query context</x:v>
      </x:c>
      <x:c r="F9" s="92" t="str">
        <x:v>查詢內容｜Query context</x:v>
      </x:c>
      <x:c r="G9" s="92" t="str">
        <x:v>查詢內容｜Query context</x:v>
      </x:c>
      <x:c r="H9" s="92" t="str">
        <x:v>查詢內容｜Query context</x:v>
      </x:c>
      <x:c r="I9" s="92" t="str">
        <x:v>查詢內容｜Query context</x:v>
      </x:c>
      <x:c r="J9" s="92" t="str">
        <x:v>查詢內容｜Query context</x:v>
      </x:c>
    </x:row>
    <x:row r="10">
      <x:c r="A10" s="109" t="str">
        <x:v>Query</x:v>
      </x:c>
      <x:c r="B10" s="33" t="str">
        <x:v>AL01 waterproofing / 防水</x:v>
      </x:c>
      <x:c r="C10" s="33"/>
      <x:c r="D10" s="33"/>
      <x:c r="E10" s="33"/>
      <x:c r="F10" s="33"/>
      <x:c r="G10" s="33"/>
      <x:c r="H10" s="33"/>
      <x:c r="I10" s="33"/>
      <x:c r="J10" s="35"/>
    </x:row>
    <x:row r="11">
      <x:c r="A11" s="110" t="str">
        <x:v>Dataset</x:v>
      </x:c>
      <x:c r="B11" s="37" t="str">
        <x:v>S1 + S2 + S3</x:v>
      </x:c>
      <x:c r="C11" s="37"/>
      <x:c r="D11" s="37"/>
      <x:c r="E11" s="37"/>
      <x:c r="F11" s="37"/>
      <x:c r="G11" s="37"/>
      <x:c r="H11" s="37"/>
      <x:c r="I11" s="37"/>
      <x:c r="J11" s="39"/>
    </x:row>
    <x:row r="12">
      <x:c r="A12" s="110" t="str">
        <x:v>Filters</x:v>
      </x:c>
      <x:c r="B12" s="37" t="str">
        <x:v>曾選用：全部；日期：2024-01-01 至 2025-12-31；幣值：MOP view</x:v>
      </x:c>
      <x:c r="C12" s="37"/>
      <x:c r="D12" s="37"/>
      <x:c r="E12" s="37"/>
      <x:c r="F12" s="37"/>
      <x:c r="G12" s="37"/>
      <x:c r="H12" s="37"/>
      <x:c r="I12" s="37"/>
      <x:c r="J12" s="39"/>
    </x:row>
    <x:row r="13">
      <x:c r="A13" s="111" t="str">
        <x:v>Sort</x:v>
      </x:c>
      <x:c r="B13" s="41" t="str">
        <x:v>Relevance</x:v>
      </x:c>
      <x:c r="C13" s="41"/>
      <x:c r="D13" s="41"/>
      <x:c r="E13" s="41"/>
      <x:c r="F13" s="41"/>
      <x:c r="G13" s="41"/>
      <x:c r="H13" s="41"/>
      <x:c r="I13" s="41"/>
      <x:c r="J13" s="43"/>
    </x:row>
    <x:row r="15" ht="24" customHeight="1">
      <x:c r="A15" s="92" t="str">
        <x:v>分析組摘要｜Comparison workspace</x:v>
      </x:c>
      <x:c r="B15" s="92" t="str">
        <x:v>分析組摘要｜Comparison workspace</x:v>
      </x:c>
      <x:c r="C15" s="92" t="str">
        <x:v>分析組摘要｜Comparison workspace</x:v>
      </x:c>
      <x:c r="D15" s="92" t="str">
        <x:v>分析組摘要｜Comparison workspace</x:v>
      </x:c>
      <x:c r="E15" s="92" t="str">
        <x:v>分析組摘要｜Comparison workspace</x:v>
      </x:c>
      <x:c r="F15" s="92" t="str">
        <x:v>分析組摘要｜Comparison workspace</x:v>
      </x:c>
      <x:c r="G15" s="92" t="str">
        <x:v>分析組摘要｜Comparison workspace</x:v>
      </x:c>
      <x:c r="H15" s="92" t="str">
        <x:v>分析組摘要｜Comparison workspace</x:v>
      </x:c>
      <x:c r="I15" s="92" t="str">
        <x:v>分析組摘要｜Comparison workspace</x:v>
      </x:c>
      <x:c r="J15" s="92" t="str">
        <x:v>分析組摘要｜Comparison workspace</x:v>
      </x:c>
    </x:row>
    <x:row r="16" ht="30" customHeight="1">
      <x:c r="A16" s="14" t="str">
        <x:v>group</x:v>
      </x:c>
      <x:c r="B16" s="15" t="str">
        <x:v>n</x:v>
      </x:c>
      <x:c r="C16" s="15" t="str">
        <x:v>dataset</x:v>
      </x:c>
      <x:c r="D16" s="15" t="str">
        <x:v>item</x:v>
      </x:c>
      <x:c r="E16" s="15" t="str">
        <x:v>price_semantic</x:v>
      </x:c>
      <x:c r="F16" s="15" t="str">
        <x:v>unit</x:v>
      </x:c>
      <x:c r="G16" s="15" t="str">
        <x:v>quote_type</x:v>
      </x:c>
      <x:c r="H16" s="15" t="str">
        <x:v>scope</x:v>
      </x:c>
      <x:c r="I16" s="15" t="str">
        <x:v>range / value</x:v>
      </x:c>
      <x:c r="J16" s="16" t="str">
        <x:v>門檻</x:v>
      </x:c>
    </x:row>
    <x:row r="17">
      <x:c r="A17" s="71" t="str">
        <x:v>G001</x:v>
      </x:c>
      <x:c r="B17" s="80" t="n">
        <x:v>4</x:v>
      </x:c>
      <x:c r="C17" s="33" t="str">
        <x:v>S3</x:v>
      </x:c>
      <x:c r="D17" s="33" t="str">
        <x:v>AL01-WI-001</x:v>
      </x:c>
      <x:c r="E17" s="33" t="str">
        <x:v>OUTGOING_UNIT_PRICE</x:v>
      </x:c>
      <x:c r="F17" s="33" t="str">
        <x:v>m²</x:v>
      </x:c>
      <x:c r="G17" s="33" t="str">
        <x:v>LABOUR_AND_MATERIAL</x:v>
      </x:c>
      <x:c r="H17" s="33" t="str">
        <x:v>PREP+SEALANT+FINISH</x:v>
      </x:c>
      <x:c r="I17" s="33" t="str">
        <x:v>MOP 19.00–172.50</x:v>
      </x:c>
      <x:c r="J17" s="35" t="str">
        <x:v>P25 / P75 available</x:v>
      </x:c>
    </x:row>
    <x:row r="18">
      <x:c r="A18" s="72" t="str">
        <x:v>G002</x:v>
      </x:c>
      <x:c r="B18" s="81" t="n">
        <x:v>2</x:v>
      </x:c>
      <x:c r="C18" s="37" t="str">
        <x:v>S1</x:v>
      </x:c>
      <x:c r="D18" s="37" t="str">
        <x:v>AL01-WI-014</x:v>
      </x:c>
      <x:c r="E18" s="37" t="str">
        <x:v>SUBCONTRACTOR_QUOTED_RATE</x:v>
      </x:c>
      <x:c r="F18" s="37" t="str">
        <x:v>item</x:v>
      </x:c>
      <x:c r="G18" s="37" t="str">
        <x:v>LUMP_SUM</x:v>
      </x:c>
      <x:c r="H18" s="37" t="str">
        <x:v>LABOUR+MATERIAL+TEST</x:v>
      </x:c>
      <x:c r="I18" s="37" t="str">
        <x:v>MOP 3,200–3,240</x:v>
      </x:c>
      <x:c r="J18" s="39" t="str">
        <x:v>P25 / P75 blank</x:v>
      </x:c>
    </x:row>
    <x:row r="19">
      <x:c r="A19" s="73" t="str">
        <x:v>G003</x:v>
      </x:c>
      <x:c r="B19" s="82" t="n">
        <x:v>1</x:v>
      </x:c>
      <x:c r="C19" s="41" t="str">
        <x:v>S2</x:v>
      </x:c>
      <x:c r="D19" s="41" t="str">
        <x:v>AL01-WI-021</x:v>
      </x:c>
      <x:c r="E19" s="41" t="str">
        <x:v>SUPPLIER_QUOTED_UNIT_PRICE</x:v>
      </x:c>
      <x:c r="F19" s="41" t="str">
        <x:v>set</x:v>
      </x:c>
      <x:c r="G19" s="41" t="str">
        <x:v>MATERIAL_ONLY</x:v>
      </x:c>
      <x:c r="H19" s="41" t="str">
        <x:v>MEMBRANE+PRIMER; QTY=17.25</x:v>
      </x:c>
      <x:c r="I19" s="41" t="str">
        <x:v>MOP 189.75</x:v>
      </x:c>
      <x:c r="J19" s="43" t="str">
        <x:v>original only</x:v>
      </x:c>
    </x:row>
    <x:row r="21" ht="24" customHeight="1">
      <x:c r="A21" s="92" t="str">
        <x:v>匯率口徑｜FX basis</x:v>
      </x:c>
      <x:c r="B21" s="92" t="str">
        <x:v>匯率口徑｜FX basis</x:v>
      </x:c>
      <x:c r="C21" s="92" t="str">
        <x:v>匯率口徑｜FX basis</x:v>
      </x:c>
      <x:c r="D21" s="92" t="str">
        <x:v>匯率口徑｜FX basis</x:v>
      </x:c>
      <x:c r="E21" s="92" t="str">
        <x:v>匯率口徑｜FX basis</x:v>
      </x:c>
      <x:c r="F21" s="92" t="str">
        <x:v>匯率口徑｜FX basis</x:v>
      </x:c>
      <x:c r="G21" s="92" t="str">
        <x:v>匯率口徑｜FX basis</x:v>
      </x:c>
      <x:c r="H21" s="92" t="str">
        <x:v>匯率口徑｜FX basis</x:v>
      </x:c>
      <x:c r="I21" s="92" t="str">
        <x:v>匯率口徑｜FX basis</x:v>
      </x:c>
      <x:c r="J21" s="92" t="str">
        <x:v>匯率口徑｜FX basis</x:v>
      </x:c>
    </x:row>
    <x:row r="22" ht="30" customHeight="1">
      <x:c r="A22" s="14" t="str">
        <x:v>currency</x:v>
      </x:c>
      <x:c r="B22" s="15" t="str">
        <x:v>MOP rate</x:v>
      </x:c>
      <x:c r="C22" s="15" t="str">
        <x:v>effective from</x:v>
      </x:c>
      <x:c r="D22" s="15" t="str">
        <x:v>source</x:v>
      </x:c>
      <x:c r="E22" s="16" t="str">
        <x:v>usage</x:v>
      </x:c>
    </x:row>
    <x:row r="23">
      <x:c r="A23" s="32" t="str">
        <x:v>MOP</x:v>
      </x:c>
      <x:c r="B23" s="56" t="n">
        <x:v>1</x:v>
      </x:c>
      <x:c r="C23" s="62" t="n">
        <x:v>46273</x:v>
      </x:c>
      <x:c r="D23" s="33" t="str">
        <x:v>Base currency</x:v>
      </x:c>
      <x:c r="E23" s="35" t="str">
        <x:v>MOP records</x:v>
      </x:c>
    </x:row>
    <x:row r="24">
      <x:c r="A24" s="40" t="str">
        <x:v>HKD</x:v>
      </x:c>
      <x:c r="B24" s="58" t="n">
        <x:v>1.126648853</x:v>
      </x:c>
      <x:c r="C24" s="64" t="n">
        <x:v>45755</x:v>
      </x:c>
      <x:c r="D24" s="41" t="str">
        <x:v>Approved historical rate</x:v>
      </x:c>
      <x:c r="E24" s="43" t="str">
        <x:v>PR-AL01-007</x:v>
      </x:c>
    </x:row>
    <x:row r="26" ht="30" customHeight="1">
      <x:c r="A26" s="114" t="str">
        <x:v>注意：所有統計只在同一 analytics group 內計算；報告不包含帳戶、密碼、本機路徑或個人搜尋歷史。</x:v>
      </x:c>
      <x:c r="B26" s="114"/>
      <x:c r="C26" s="114"/>
      <x:c r="D26" s="114"/>
      <x:c r="E26" s="114"/>
      <x:c r="F26" s="114"/>
      <x:c r="G26" s="114"/>
      <x:c r="H26" s="114"/>
      <x:c r="I26" s="114"/>
      <x:c r="J26" s="114"/>
    </x:row>
  </x:sheetData>
  <x:mergeCells>
    <x:mergeCell ref="A2:J2"/>
    <x:mergeCell ref="A3:J3"/>
    <x:mergeCell ref="A5:E5"/>
    <x:mergeCell ref="F5:J5"/>
    <x:mergeCell ref="A6:E7"/>
    <x:mergeCell ref="F6:J7"/>
    <x:mergeCell ref="A9:J9"/>
    <x:mergeCell ref="B10:J10"/>
    <x:mergeCell ref="B11:J11"/>
    <x:mergeCell ref="B12:J12"/>
    <x:mergeCell ref="B13:J13"/>
    <x:mergeCell ref="A15:J15"/>
    <x:mergeCell ref="A21:J21"/>
    <x:mergeCell ref="A26:J2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0" hidden="0" customWidth="1"/>
    <x:col min="2" max="2" width="9" hidden="0" customWidth="1"/>
    <x:col min="3" max="3" width="9" hidden="0" customWidth="1"/>
    <x:col min="4" max="4" width="16" hidden="0" customWidth="1"/>
    <x:col min="5" max="5" width="28" hidden="0" customWidth="1"/>
    <x:col min="6" max="6" width="17" hidden="0" customWidth="1"/>
    <x:col min="7" max="7" width="17" hidden="0" customWidth="1"/>
    <x:col min="8" max="8" width="27" hidden="0" customWidth="1"/>
    <x:col min="9" max="9" width="27" hidden="0" customWidth="1"/>
    <x:col min="10" max="10" width="27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</x:cols>
  <x:sheetData>
    <x:row r="2" ht="34" customHeight="1">
      <x:c r="A2" s="2" t="str">
        <x:v>分組統計｜Grouped Analytics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</x:row>
    <x:row r="3" ht="24" customHeight="1">
      <x:c r="A3" s="5" t="str">
        <x:v>對齊比較工作區：每組清楚列出定義與門檻統計，絕不跨組混算。</x:v>
      </x:c>
      <x:c r="B3" s="5"/>
      <x:c r="C3" s="5"/>
      <x:c r="D3" s="5"/>
      <x:c r="E3" s="5"/>
      <x:c r="F3" s="5"/>
      <x:c r="G3" s="5"/>
      <x:c r="H3" s="5"/>
      <x:c r="I3" s="5"/>
      <x:c r="J3" s="5"/>
      <x:c r="K3" s="5"/>
      <x:c r="L3" s="5"/>
      <x:c r="M3" s="5"/>
      <x:c r="N3" s="5"/>
      <x:c r="O3" s="5"/>
      <x:c r="P3" s="5"/>
      <x:c r="Q3" s="5"/>
    </x:row>
    <x:row r="5" ht="30" customHeight="1">
      <x:c r="A5" s="14" t="str">
        <x:v>group</x:v>
      </x:c>
      <x:c r="B5" s="15" t="str">
        <x:v>n</x:v>
      </x:c>
      <x:c r="C5" s="15" t="str">
        <x:v>dataset</x:v>
      </x:c>
      <x:c r="D5" s="15" t="str">
        <x:v>item</x:v>
      </x:c>
      <x:c r="E5" s="15" t="str">
        <x:v>price_semantic</x:v>
      </x:c>
      <x:c r="F5" s="15" t="str">
        <x:v>unit</x:v>
      </x:c>
      <x:c r="G5" s="15" t="str">
        <x:v>quote_type</x:v>
      </x:c>
      <x:c r="H5" s="15" t="str">
        <x:v>scope</x:v>
      </x:c>
      <x:c r="I5" s="15" t="str">
        <x:v>basis</x:v>
      </x:c>
      <x:c r="J5" s="15" t="str">
        <x:v>transport</x:v>
      </x:c>
      <x:c r="K5" s="15" t="str">
        <x:v>min</x:v>
      </x:c>
      <x:c r="L5" s="15" t="str">
        <x:v>max</x:v>
      </x:c>
      <x:c r="M5" s="15" t="str">
        <x:v>average</x:v>
      </x:c>
      <x:c r="N5" s="15" t="str">
        <x:v>median</x:v>
      </x:c>
      <x:c r="O5" s="15" t="str">
        <x:v>P25</x:v>
      </x:c>
      <x:c r="P5" s="15" t="str">
        <x:v>P75</x:v>
      </x:c>
      <x:c r="Q5" s="16" t="str">
        <x:v>original (n=1)</x:v>
      </x:c>
    </x:row>
    <x:row r="6" ht="38" customHeight="1">
      <x:c r="A6" s="71" t="str">
        <x:v>G001</x:v>
      </x:c>
      <x:c r="B6" s="80" t="n">
        <x:v>4</x:v>
      </x:c>
      <x:c r="C6" s="33" t="str">
        <x:v>S3</x:v>
      </x:c>
      <x:c r="D6" s="33" t="str">
        <x:v>AL01-WI-001</x:v>
      </x:c>
      <x:c r="E6" s="33" t="str">
        <x:v>OUTGOING_UNIT_PRICE</x:v>
      </x:c>
      <x:c r="F6" s="33" t="str">
        <x:v>m²</x:v>
      </x:c>
      <x:c r="G6" s="33" t="str">
        <x:v>LABOUR_AND_MATERIAL</x:v>
      </x:c>
      <x:c r="H6" s="33" t="str">
        <x:v>PREP+SEALANT+FINISH</x:v>
      </x:c>
      <x:c r="I6" s="33" t="str">
        <x:v>OUTGOING_UNIT_RATE</x:v>
      </x:c>
      <x:c r="J6" s="33" t="str">
        <x:v>INCLUDED</x:v>
      </x:c>
      <x:c r="K6" s="59" t="n">
        <x:f>MIN('已選資料'!P6:P9)</x:f>
        <x:v>19</x:v>
      </x:c>
      <x:c r="L6" s="59" t="n">
        <x:f>MAX('已選資料'!P6:P9)</x:f>
        <x:v>172.5</x:v>
      </x:c>
      <x:c r="M6" s="59" t="n">
        <x:f>AVERAGE('已選資料'!P6:P9)</x:f>
        <x:v>90.685</x:v>
      </x:c>
      <x:c r="N6" s="59" t="n">
        <x:f>MEDIAN('已選資料'!P6:P9)</x:f>
        <x:v>85.62</x:v>
      </x:c>
      <x:c r="O6" s="59" t="n">
        <x:f>PERCENTILE.INC('已選資料'!P6:P9,0.25)</x:f>
        <x:v>20.68</x:v>
      </x:c>
      <x:c r="P6" s="59" t="n">
        <x:f>PERCENTILE.INC('已選資料'!P6:P9,0.75)</x:f>
        <x:v>155.625</x:v>
      </x:c>
      <x:c r="Q6" s="86"/>
    </x:row>
    <x:row r="7" ht="38" customHeight="1">
      <x:c r="A7" s="72" t="str">
        <x:v>G002</x:v>
      </x:c>
      <x:c r="B7" s="81" t="n">
        <x:v>2</x:v>
      </x:c>
      <x:c r="C7" s="37" t="str">
        <x:v>S1</x:v>
      </x:c>
      <x:c r="D7" s="37" t="str">
        <x:v>AL01-WI-014</x:v>
      </x:c>
      <x:c r="E7" s="37" t="str">
        <x:v>SUBCONTRACTOR_QUOTED_RATE</x:v>
      </x:c>
      <x:c r="F7" s="37" t="str">
        <x:v>item</x:v>
      </x:c>
      <x:c r="G7" s="37" t="str">
        <x:v>LUMP_SUM</x:v>
      </x:c>
      <x:c r="H7" s="37" t="str">
        <x:v>LABOUR+MATERIAL+TEST</x:v>
      </x:c>
      <x:c r="I7" s="37" t="str">
        <x:v>LUMP_SUM_ITEM</x:v>
      </x:c>
      <x:c r="J7" s="37" t="str">
        <x:v>INCLUDED</x:v>
      </x:c>
      <x:c r="K7" s="60" t="n">
        <x:f>MIN('已選資料'!P10:P11)</x:f>
        <x:v>3200</x:v>
      </x:c>
      <x:c r="L7" s="60" t="n">
        <x:f>MAX('已選資料'!P10:P11)</x:f>
        <x:v>3240</x:v>
      </x:c>
      <x:c r="M7" s="60" t="n">
        <x:f>AVERAGE('已選資料'!P10:P11)</x:f>
        <x:v>3220</x:v>
      </x:c>
      <x:c r="N7" s="60" t="n">
        <x:f>MEDIAN('已選資料'!P10:P11)</x:f>
        <x:v>3220</x:v>
      </x:c>
      <x:c r="O7" s="60"/>
      <x:c r="P7" s="60"/>
      <x:c r="Q7" s="87"/>
    </x:row>
    <x:row r="8" ht="38" customHeight="1">
      <x:c r="A8" s="73" t="str">
        <x:v>G003</x:v>
      </x:c>
      <x:c r="B8" s="82" t="n">
        <x:v>1</x:v>
      </x:c>
      <x:c r="C8" s="41" t="str">
        <x:v>S2</x:v>
      </x:c>
      <x:c r="D8" s="41" t="str">
        <x:v>AL01-WI-021</x:v>
      </x:c>
      <x:c r="E8" s="41" t="str">
        <x:v>SUPPLIER_QUOTED_UNIT_PRICE</x:v>
      </x:c>
      <x:c r="F8" s="41" t="str">
        <x:v>set</x:v>
      </x:c>
      <x:c r="G8" s="41" t="str">
        <x:v>MATERIAL_ONLY</x:v>
      </x:c>
      <x:c r="H8" s="41" t="str">
        <x:v>MEMBRANE+PRIMER;QTY=17.25</x:v>
      </x:c>
      <x:c r="I8" s="41" t="str">
        <x:v>QUOTED_UNIT_RATE</x:v>
      </x:c>
      <x:c r="J8" s="41" t="str">
        <x:v>EXCLUDED</x:v>
      </x:c>
      <x:c r="K8" s="61"/>
      <x:c r="L8" s="61"/>
      <x:c r="M8" s="61"/>
      <x:c r="N8" s="61"/>
      <x:c r="O8" s="61"/>
      <x:c r="P8" s="61"/>
      <x:c r="Q8" s="88" t="n">
        <x:v>189.75</x:v>
      </x:c>
    </x:row>
    <x:row r="11" ht="24" customHeight="1">
      <x:c r="A11" s="92" t="str">
        <x:v>統計門檻｜n=1 只顯示原值；n=2–3 顯示 min / max / average / median；n≥4 再顯示 P25 / P75</x:v>
      </x:c>
      <x:c r="B11" s="92" t="str">
        <x:v>統計門檻｜n=1 只顯示原值；n=2–3 顯示 min / max / average / median；n≥4 再顯示 P25 / P75</x:v>
      </x:c>
      <x:c r="C11" s="92" t="str">
        <x:v>統計門檻｜n=1 只顯示原值；n=2–3 顯示 min / max / average / median；n≥4 再顯示 P25 / P75</x:v>
      </x:c>
      <x:c r="D11" s="92" t="str">
        <x:v>統計門檻｜n=1 只顯示原值；n=2–3 顯示 min / max / average / median；n≥4 再顯示 P25 / P75</x:v>
      </x:c>
      <x:c r="E11" s="92" t="str">
        <x:v>統計門檻｜n=1 只顯示原值；n=2–3 顯示 min / max / average / median；n≥4 再顯示 P25 / P75</x:v>
      </x:c>
      <x:c r="F11" s="92" t="str">
        <x:v>統計門檻｜n=1 只顯示原值；n=2–3 顯示 min / max / average / median；n≥4 再顯示 P25 / P75</x:v>
      </x:c>
      <x:c r="G11" s="92" t="str">
        <x:v>統計門檻｜n=1 只顯示原值；n=2–3 顯示 min / max / average / median；n≥4 再顯示 P25 / P75</x:v>
      </x:c>
      <x:c r="H11" s="92" t="str">
        <x:v>統計門檻｜n=1 只顯示原值；n=2–3 顯示 min / max / average / median；n≥4 再顯示 P25 / P75</x:v>
      </x:c>
      <x:c r="I11" s="92" t="str">
        <x:v>統計門檻｜n=1 只顯示原值；n=2–3 顯示 min / max / average / median；n≥4 再顯示 P25 / P75</x:v>
      </x:c>
      <x:c r="J11" s="92" t="str">
        <x:v>統計門檻｜n=1 只顯示原值；n=2–3 顯示 min / max / average / median；n≥4 再顯示 P25 / P75</x:v>
      </x:c>
      <x:c r="K11" s="92" t="str">
        <x:v>統計門檻｜n=1 只顯示原值；n=2–3 顯示 min / max / average / median；n≥4 再顯示 P25 / P75</x:v>
      </x:c>
      <x:c r="L11" s="92" t="str">
        <x:v>統計門檻｜n=1 只顯示原值；n=2–3 顯示 min / max / average / median；n≥4 再顯示 P25 / P75</x:v>
      </x:c>
      <x:c r="M11" s="92" t="str">
        <x:v>統計門檻｜n=1 只顯示原值；n=2–3 顯示 min / max / average / median；n≥4 再顯示 P25 / P75</x:v>
      </x:c>
      <x:c r="N11" s="92" t="str">
        <x:v>統計門檻｜n=1 只顯示原值；n=2–3 顯示 min / max / average / median；n≥4 再顯示 P25 / P75</x:v>
      </x:c>
      <x:c r="O11" s="92" t="str">
        <x:v>統計門檻｜n=1 只顯示原值；n=2–3 顯示 min / max / average / median；n≥4 再顯示 P25 / P75</x:v>
      </x:c>
      <x:c r="P11" s="92" t="str">
        <x:v>統計門檻｜n=1 只顯示原值；n=2–3 顯示 min / max / average / median；n≥4 再顯示 P25 / P75</x:v>
      </x:c>
      <x:c r="Q11" s="92" t="str">
        <x:v>統計門檻｜n=1 只顯示原值；n=2–3 顯示 min / max / average / median；n≥4 再顯示 P25 / P75</x:v>
      </x:c>
    </x:row>
    <x:row r="12" ht="28" customHeight="1">
      <x:c r="A12" s="95" t="str">
        <x:v>所有已選資料均會顯示及可輸出；不同八維分析定義會拆成不同組。頂部不提供跨組 average、median 或 percentile。</x:v>
      </x:c>
      <x:c r="B12" s="95"/>
      <x:c r="C12" s="95"/>
      <x:c r="D12" s="95"/>
      <x:c r="E12" s="95"/>
      <x:c r="F12" s="95"/>
      <x:c r="G12" s="95"/>
      <x:c r="H12" s="95"/>
      <x:c r="I12" s="95"/>
      <x:c r="J12" s="95"/>
      <x:c r="K12" s="95"/>
      <x:c r="L12" s="95"/>
      <x:c r="M12" s="95"/>
      <x:c r="N12" s="95"/>
      <x:c r="O12" s="95"/>
      <x:c r="P12" s="95"/>
      <x:c r="Q12" s="95"/>
    </x:row>
  </x:sheetData>
  <x:mergeCells>
    <x:mergeCell ref="A2:Q2"/>
    <x:mergeCell ref="A3:Q3"/>
    <x:mergeCell ref="A11:Q11"/>
    <x:mergeCell ref="A12:Q1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6" hidden="0" customWidth="1"/>
    <x:col min="2" max="2" width="11" hidden="0" customWidth="1"/>
    <x:col min="3" max="3" width="11" hidden="0" customWidth="1"/>
    <x:col min="4" max="4" width="11" hidden="0" customWidth="1"/>
    <x:col min="5" max="5" width="27" hidden="0" customWidth="1"/>
    <x:col min="6" max="6" width="27" hidden="0" customWidth="1"/>
    <x:col min="7" max="7" width="26" hidden="0" customWidth="1"/>
    <x:col min="8" max="8" width="15" hidden="0" customWidth="1"/>
    <x:col min="9" max="9" width="15" hidden="0" customWidth="1"/>
    <x:col min="10" max="10" width="24" hidden="0" customWidth="1"/>
    <x:col min="11" max="11" width="24" hidden="0" customWidth="1"/>
    <x:col min="12" max="12" width="24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22" hidden="0" customWidth="1"/>
    <x:col min="19" max="19" width="11" hidden="0" customWidth="1"/>
    <x:col min="20" max="20" width="24" hidden="0" customWidth="1"/>
    <x:col min="21" max="21" width="24" hidden="0" customWidth="1"/>
  </x:cols>
  <x:sheetData>
    <x:row r="2" ht="34" customHeight="1">
      <x:c r="A2" s="2" t="str">
        <x:v>已選資料｜Selected Records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</x:row>
    <x:row r="3" ht="24" customHeight="1">
      <x:c r="A3" s="5" t="str">
        <x:v>所有已選價格均保留；analytics_group_id 連結比較區與來源證據。</x:v>
      </x:c>
      <x:c r="B3" s="5"/>
      <x:c r="C3" s="5"/>
      <x:c r="D3" s="5"/>
      <x:c r="E3" s="5"/>
      <x:c r="F3" s="5"/>
      <x:c r="G3" s="5"/>
      <x:c r="H3" s="5"/>
      <x:c r="I3" s="5"/>
      <x:c r="J3" s="5"/>
      <x:c r="K3" s="5"/>
      <x:c r="L3" s="5"/>
      <x:c r="M3" s="5"/>
      <x:c r="N3" s="5"/>
      <x:c r="O3" s="5"/>
      <x:c r="P3" s="5"/>
      <x:c r="Q3" s="5"/>
      <x:c r="R3" s="5"/>
      <x:c r="S3" s="5"/>
      <x:c r="T3" s="5"/>
      <x:c r="U3" s="5"/>
    </x:row>
    <x:row r="5" ht="30" customHeight="1">
      <x:c r="A5" s="14" t="str">
        <x:v>record_id</x:v>
      </x:c>
      <x:c r="B5" s="15" t="str">
        <x:v>group</x:v>
      </x:c>
      <x:c r="C5" s="15" t="str">
        <x:v>dataset</x:v>
      </x:c>
      <x:c r="D5" s="15" t="str">
        <x:v>item</x:v>
      </x:c>
      <x:c r="E5" s="15" t="str">
        <x:v>標準描述</x:v>
      </x:c>
      <x:c r="F5" s="15" t="str">
        <x:v>原文描述</x:v>
      </x:c>
      <x:c r="G5" s="15" t="str">
        <x:v>price_semantic</x:v>
      </x:c>
      <x:c r="H5" s="15" t="str">
        <x:v>unit</x:v>
      </x:c>
      <x:c r="I5" s="15" t="str">
        <x:v>quote_type</x:v>
      </x:c>
      <x:c r="J5" s="15" t="str">
        <x:v>scope</x:v>
      </x:c>
      <x:c r="K5" s="15" t="str">
        <x:v>basis</x:v>
      </x:c>
      <x:c r="L5" s="15" t="str">
        <x:v>transport</x:v>
      </x:c>
      <x:c r="M5" s="15" t="str">
        <x:v>currency</x:v>
      </x:c>
      <x:c r="N5" s="15" t="str">
        <x:v>original</x:v>
      </x:c>
      <x:c r="O5" s="15" t="str">
        <x:v>FX</x:v>
      </x:c>
      <x:c r="P5" s="15" t="str">
        <x:v>MOP</x:v>
      </x:c>
      <x:c r="Q5" s="15" t="str">
        <x:v>date</x:v>
      </x:c>
      <x:c r="R5" s="15" t="str">
        <x:v>counterparty / project</x:v>
      </x:c>
      <x:c r="S5" s="15" t="str">
        <x:v>曾選用</x:v>
      </x:c>
      <x:c r="T5" s="15" t="str">
        <x:v>document</x:v>
      </x:c>
      <x:c r="U5" s="16" t="str">
        <x:v>locator</x:v>
      </x:c>
    </x:row>
    <x:row r="6" ht="30" customHeight="1">
      <x:c r="A6" s="32" t="str">
        <x:v>PR-AL01-001</x:v>
      </x:c>
      <x:c r="B6" s="50" t="str">
        <x:v>G001</x:v>
      </x:c>
      <x:c r="C6" s="33" t="str">
        <x:v>S3</x:v>
      </x:c>
      <x:c r="D6" s="33" t="str">
        <x:v>AL01-WI-001</x:v>
      </x:c>
      <x:c r="E6" s="33" t="str">
        <x:v>鋁窗防水收口工程</x:v>
      </x:c>
      <x:c r="F6" s="33" t="str">
        <x:v>Aluminium window waterproofing making good</x:v>
      </x:c>
      <x:c r="G6" s="33" t="str">
        <x:v>OUTGOING_UNIT_PRICE</x:v>
      </x:c>
      <x:c r="H6" s="33" t="str">
        <x:v>m²</x:v>
      </x:c>
      <x:c r="I6" s="33" t="str">
        <x:v>LABOUR_AND_MATERIAL</x:v>
      </x:c>
      <x:c r="J6" s="33" t="str">
        <x:v>PREP+SEALANT+FINISH</x:v>
      </x:c>
      <x:c r="K6" s="33" t="str">
        <x:v>OUTGOING_UNIT_RATE</x:v>
      </x:c>
      <x:c r="L6" s="33" t="str">
        <x:v>INCLUDED</x:v>
      </x:c>
      <x:c r="M6" s="33" t="str">
        <x:v>MOP</x:v>
      </x:c>
      <x:c r="N6" s="53" t="n">
        <x:v>21.24</x:v>
      </x:c>
      <x:c r="O6" s="56" t="n">
        <x:v>1</x:v>
      </x:c>
      <x:c r="P6" s="59" t="n">
        <x:v>21.24</x:v>
      </x:c>
      <x:c r="Q6" s="62" t="n">
        <x:v>45734</x:v>
      </x:c>
      <x:c r="R6" s="33" t="str">
        <x:v>AL01 Project A</x:v>
      </x:c>
      <x:c r="S6" s="34" t="b">
        <x:v>1</x:v>
      </x:c>
      <x:c r="T6" s="33" t="str">
        <x:v>AL01-FA-2025-01</x:v>
      </x:c>
      <x:c r="U6" s="35" t="str">
        <x:v>Final Account · Row 42</x:v>
      </x:c>
    </x:row>
    <x:row r="7" ht="30" customHeight="1">
      <x:c r="A7" s="36" t="str">
        <x:v>PR-AL01-002</x:v>
      </x:c>
      <x:c r="B7" s="51" t="str">
        <x:v>G001</x:v>
      </x:c>
      <x:c r="C7" s="37" t="str">
        <x:v>S3</x:v>
      </x:c>
      <x:c r="D7" s="37" t="str">
        <x:v>AL01-WI-001</x:v>
      </x:c>
      <x:c r="E7" s="37" t="str">
        <x:v>鋁窗防水收口工程</x:v>
      </x:c>
      <x:c r="F7" s="37" t="str">
        <x:v>Window perimeter waterproofing and finishing</x:v>
      </x:c>
      <x:c r="G7" s="37" t="str">
        <x:v>OUTGOING_UNIT_PRICE</x:v>
      </x:c>
      <x:c r="H7" s="37" t="str">
        <x:v>m²</x:v>
      </x:c>
      <x:c r="I7" s="37" t="str">
        <x:v>LABOUR_AND_MATERIAL</x:v>
      </x:c>
      <x:c r="J7" s="37" t="str">
        <x:v>PREP+SEALANT+FINISH</x:v>
      </x:c>
      <x:c r="K7" s="37" t="str">
        <x:v>OUTGOING_UNIT_RATE</x:v>
      </x:c>
      <x:c r="L7" s="37" t="str">
        <x:v>INCLUDED</x:v>
      </x:c>
      <x:c r="M7" s="37" t="str">
        <x:v>MOP</x:v>
      </x:c>
      <x:c r="N7" s="54" t="n">
        <x:v>19</x:v>
      </x:c>
      <x:c r="O7" s="57" t="n">
        <x:v>1</x:v>
      </x:c>
      <x:c r="P7" s="60" t="n">
        <x:v>19</x:v>
      </x:c>
      <x:c r="Q7" s="63" t="n">
        <x:v>45666</x:v>
      </x:c>
      <x:c r="R7" s="37" t="str">
        <x:v>AL01 Project B</x:v>
      </x:c>
      <x:c r="S7" s="38" t="b">
        <x:v>1</x:v>
      </x:c>
      <x:c r="T7" s="37" t="str">
        <x:v>AL01-FA-2025-02</x:v>
      </x:c>
      <x:c r="U7" s="39" t="str">
        <x:v>Final Account · Row 57</x:v>
      </x:c>
    </x:row>
    <x:row r="8" ht="30" customHeight="1">
      <x:c r="A8" s="36" t="str">
        <x:v>PR-AL01-003</x:v>
      </x:c>
      <x:c r="B8" s="51" t="str">
        <x:v>G001</x:v>
      </x:c>
      <x:c r="C8" s="37" t="str">
        <x:v>S3</x:v>
      </x:c>
      <x:c r="D8" s="37" t="str">
        <x:v>AL01-WI-001</x:v>
      </x:c>
      <x:c r="E8" s="37" t="str">
        <x:v>鋁窗防水收口工程</x:v>
      </x:c>
      <x:c r="F8" s="37" t="str">
        <x:v>Waterproofing to aluminium window surrounds</x:v>
      </x:c>
      <x:c r="G8" s="37" t="str">
        <x:v>OUTGOING_UNIT_PRICE</x:v>
      </x:c>
      <x:c r="H8" s="37" t="str">
        <x:v>m²</x:v>
      </x:c>
      <x:c r="I8" s="37" t="str">
        <x:v>LABOUR_AND_MATERIAL</x:v>
      </x:c>
      <x:c r="J8" s="37" t="str">
        <x:v>PREP+SEALANT+FINISH</x:v>
      </x:c>
      <x:c r="K8" s="37" t="str">
        <x:v>OUTGOING_UNIT_RATE</x:v>
      </x:c>
      <x:c r="L8" s="37" t="str">
        <x:v>INCLUDED</x:v>
      </x:c>
      <x:c r="M8" s="37" t="str">
        <x:v>MOP</x:v>
      </x:c>
      <x:c r="N8" s="54" t="n">
        <x:v>150</x:v>
      </x:c>
      <x:c r="O8" s="57" t="n">
        <x:v>1</x:v>
      </x:c>
      <x:c r="P8" s="60" t="n">
        <x:v>150</x:v>
      </x:c>
      <x:c r="Q8" s="63" t="n">
        <x:v>45618</x:v>
      </x:c>
      <x:c r="R8" s="37" t="str">
        <x:v>AL01 Project C</x:v>
      </x:c>
      <x:c r="S8" s="38" t="b">
        <x:v>0</x:v>
      </x:c>
      <x:c r="T8" s="37" t="str">
        <x:v>AL01-FA-2024-09</x:v>
      </x:c>
      <x:c r="U8" s="39" t="str">
        <x:v>Cost Summary · Row 31</x:v>
      </x:c>
    </x:row>
    <x:row r="9" ht="30" customHeight="1">
      <x:c r="A9" s="36" t="str">
        <x:v>PR-AL01-004</x:v>
      </x:c>
      <x:c r="B9" s="51" t="str">
        <x:v>G001</x:v>
      </x:c>
      <x:c r="C9" s="37" t="str">
        <x:v>S3</x:v>
      </x:c>
      <x:c r="D9" s="37" t="str">
        <x:v>AL01-WI-001</x:v>
      </x:c>
      <x:c r="E9" s="37" t="str">
        <x:v>鋁窗防水收口工程</x:v>
      </x:c>
      <x:c r="F9" s="37" t="str">
        <x:v>Complete window edge seal and finish</x:v>
      </x:c>
      <x:c r="G9" s="37" t="str">
        <x:v>OUTGOING_UNIT_PRICE</x:v>
      </x:c>
      <x:c r="H9" s="37" t="str">
        <x:v>m²</x:v>
      </x:c>
      <x:c r="I9" s="37" t="str">
        <x:v>LABOUR_AND_MATERIAL</x:v>
      </x:c>
      <x:c r="J9" s="37" t="str">
        <x:v>PREP+SEALANT+FINISH</x:v>
      </x:c>
      <x:c r="K9" s="37" t="str">
        <x:v>OUTGOING_UNIT_RATE</x:v>
      </x:c>
      <x:c r="L9" s="37" t="str">
        <x:v>INCLUDED</x:v>
      </x:c>
      <x:c r="M9" s="37" t="str">
        <x:v>MOP</x:v>
      </x:c>
      <x:c r="N9" s="54" t="n">
        <x:v>172.5</x:v>
      </x:c>
      <x:c r="O9" s="57" t="n">
        <x:v>1</x:v>
      </x:c>
      <x:c r="P9" s="60" t="n">
        <x:v>172.5</x:v>
      </x:c>
      <x:c r="Q9" s="63" t="n">
        <x:v>45519</x:v>
      </x:c>
      <x:c r="R9" s="37" t="str">
        <x:v>AL01 Project D</x:v>
      </x:c>
      <x:c r="S9" s="38" t="b">
        <x:v>1</x:v>
      </x:c>
      <x:c r="T9" s="37" t="str">
        <x:v>AL01-FA-2024-05</x:v>
      </x:c>
      <x:c r="U9" s="39" t="str">
        <x:v>PDF p.18 · Item 7.3</x:v>
      </x:c>
    </x:row>
    <x:row r="10" ht="30" customHeight="1">
      <x:c r="A10" s="36" t="str">
        <x:v>PR-AL01-005</x:v>
      </x:c>
      <x:c r="B10" s="51" t="str">
        <x:v>G002</x:v>
      </x:c>
      <x:c r="C10" s="37" t="str">
        <x:v>S1</x:v>
      </x:c>
      <x:c r="D10" s="37" t="str">
        <x:v>AL01-WI-014</x:v>
      </x:c>
      <x:c r="E10" s="37" t="str">
        <x:v>防水工程整項</x:v>
      </x:c>
      <x:c r="F10" s="37" t="str">
        <x:v>Complete waterproofing work item</x:v>
      </x:c>
      <x:c r="G10" s="37" t="str">
        <x:v>SUBCONTRACTOR_QUOTED_RATE</x:v>
      </x:c>
      <x:c r="H10" s="37" t="str">
        <x:v>item</x:v>
      </x:c>
      <x:c r="I10" s="37" t="str">
        <x:v>LUMP_SUM</x:v>
      </x:c>
      <x:c r="J10" s="37" t="str">
        <x:v>LABOUR+MATERIAL+TEST</x:v>
      </x:c>
      <x:c r="K10" s="37" t="str">
        <x:v>LUMP_SUM_ITEM</x:v>
      </x:c>
      <x:c r="L10" s="37" t="str">
        <x:v>INCLUDED</x:v>
      </x:c>
      <x:c r="M10" s="37" t="str">
        <x:v>MOP</x:v>
      </x:c>
      <x:c r="N10" s="54" t="n">
        <x:v>3240</x:v>
      </x:c>
      <x:c r="O10" s="57" t="n">
        <x:v>1</x:v>
      </x:c>
      <x:c r="P10" s="60" t="n">
        <x:v>3240</x:v>
      </x:c>
      <x:c r="Q10" s="63" t="n">
        <x:v>45750</x:v>
      </x:c>
      <x:c r="R10" s="37" t="str">
        <x:v>示例判頭 A</x:v>
      </x:c>
      <x:c r="S10" s="38" t="b">
        <x:v>1</x:v>
      </x:c>
      <x:c r="T10" s="37" t="str">
        <x:v>AL01-SC-Q-014</x:v>
      </x:c>
      <x:c r="U10" s="39" t="str">
        <x:v>PDF p.6 · Item W14</x:v>
      </x:c>
    </x:row>
    <x:row r="11" ht="30" customHeight="1">
      <x:c r="A11" s="36" t="str">
        <x:v>PR-AL01-006</x:v>
      </x:c>
      <x:c r="B11" s="51" t="str">
        <x:v>G002</x:v>
      </x:c>
      <x:c r="C11" s="37" t="str">
        <x:v>S1</x:v>
      </x:c>
      <x:c r="D11" s="37" t="str">
        <x:v>AL01-WI-014</x:v>
      </x:c>
      <x:c r="E11" s="37" t="str">
        <x:v>防水工程整項</x:v>
      </x:c>
      <x:c r="F11" s="37" t="str">
        <x:v>Waterproofing lump-sum item</x:v>
      </x:c>
      <x:c r="G11" s="37" t="str">
        <x:v>SUBCONTRACTOR_QUOTED_RATE</x:v>
      </x:c>
      <x:c r="H11" s="37" t="str">
        <x:v>item</x:v>
      </x:c>
      <x:c r="I11" s="37" t="str">
        <x:v>LUMP_SUM</x:v>
      </x:c>
      <x:c r="J11" s="37" t="str">
        <x:v>LABOUR+MATERIAL+TEST</x:v>
      </x:c>
      <x:c r="K11" s="37" t="str">
        <x:v>LUMP_SUM_ITEM</x:v>
      </x:c>
      <x:c r="L11" s="37" t="str">
        <x:v>INCLUDED</x:v>
      </x:c>
      <x:c r="M11" s="37" t="str">
        <x:v>MOP</x:v>
      </x:c>
      <x:c r="N11" s="54" t="n">
        <x:v>3200</x:v>
      </x:c>
      <x:c r="O11" s="57" t="n">
        <x:v>1</x:v>
      </x:c>
      <x:c r="P11" s="60" t="n">
        <x:v>3200</x:v>
      </x:c>
      <x:c r="Q11" s="63" t="n">
        <x:v>45745</x:v>
      </x:c>
      <x:c r="R11" s="37" t="str">
        <x:v>示例判頭 B</x:v>
      </x:c>
      <x:c r="S11" s="38" t="b">
        <x:v>0</x:v>
      </x:c>
      <x:c r="T11" s="37" t="str">
        <x:v>AL01-SC-Q-015</x:v>
      </x:c>
      <x:c r="U11" s="39" t="str">
        <x:v>Quote · Row 26</x:v>
      </x:c>
    </x:row>
    <x:row r="12" ht="30" customHeight="1">
      <x:c r="A12" s="40" t="str">
        <x:v>PR-AL01-007</x:v>
      </x:c>
      <x:c r="B12" s="52" t="str">
        <x:v>G003</x:v>
      </x:c>
      <x:c r="C12" s="41" t="str">
        <x:v>S2</x:v>
      </x:c>
      <x:c r="D12" s="41" t="str">
        <x:v>AL01-WI-021</x:v>
      </x:c>
      <x:c r="E12" s="41" t="str">
        <x:v>防水物料套裝</x:v>
      </x:c>
      <x:c r="F12" s="41" t="str">
        <x:v>Waterproofing material set</x:v>
      </x:c>
      <x:c r="G12" s="41" t="str">
        <x:v>SUPPLIER_QUOTED_UNIT_PRICE</x:v>
      </x:c>
      <x:c r="H12" s="41" t="str">
        <x:v>set</x:v>
      </x:c>
      <x:c r="I12" s="41" t="str">
        <x:v>MATERIAL_ONLY</x:v>
      </x:c>
      <x:c r="J12" s="41" t="str">
        <x:v>MEMBRANE+PRIMER;QTY=17.25</x:v>
      </x:c>
      <x:c r="K12" s="41" t="str">
        <x:v>QUOTED_UNIT_RATE</x:v>
      </x:c>
      <x:c r="L12" s="41" t="str">
        <x:v>EXCLUDED</x:v>
      </x:c>
      <x:c r="M12" s="41" t="str">
        <x:v>HKD</x:v>
      </x:c>
      <x:c r="N12" s="55" t="n">
        <x:v>168.42</x:v>
      </x:c>
      <x:c r="O12" s="58" t="n">
        <x:v>1.126648853</x:v>
      </x:c>
      <x:c r="P12" s="61" t="n">
        <x:v>189.75</x:v>
      </x:c>
      <x:c r="Q12" s="64" t="n">
        <x:v>45755</x:v>
      </x:c>
      <x:c r="R12" s="41" t="str">
        <x:v>示例供應商 A</x:v>
      </x:c>
      <x:c r="S12" s="42" t="b">
        <x:v>1</x:v>
      </x:c>
      <x:c r="T12" s="41" t="str">
        <x:v>AL01-SP-Q-021</x:v>
      </x:c>
      <x:c r="U12" s="43" t="str">
        <x:v>Supplier Quote · Row 19</x:v>
      </x:c>
    </x:row>
  </x:sheetData>
  <x:mergeCells>
    <x:mergeCell ref="A2:U2"/>
    <x:mergeCell ref="A3:U3"/>
  </x:mergeCells>
  <x:pageMargins left="0.7" right="0.7" top="0.75" bottom="0.75" header="0.3" footer="0.3"/>
  <x:tableParts count="1">
    <x:tablePart xmlns:r="http://schemas.openxmlformats.org/officeDocument/2006/relationships" r:id="R07428b523d45489d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25" hidden="0" customWidth="1"/>
    <x:col min="4" max="4" width="25" hidden="0" customWidth="1"/>
    <x:col min="5" max="5" width="13" hidden="0" customWidth="1"/>
    <x:col min="6" max="6" width="24" hidden="0" customWidth="1"/>
    <x:col min="7" max="7" width="34" hidden="0" customWidth="1"/>
    <x:col min="8" max="8" width="15" hidden="0" customWidth="1"/>
    <x:col min="9" max="9" width="15" hidden="0" customWidth="1"/>
    <x:col min="10" max="10" width="11" hidden="0" customWidth="1"/>
    <x:col min="11" max="11" width="28" hidden="0" customWidth="1"/>
  </x:cols>
  <x:sheetData>
    <x:row r="2" ht="34" customHeight="1">
      <x:c r="A2" s="2" t="str">
        <x:v>來源證據｜Source Evidence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</x:row>
    <x:row r="3" ht="24" customHeight="1">
      <x:c r="A3" s="5" t="str">
        <x:v>Search User 所需的可讀追溯資料；不顯示或輸出技術完整性值。</x:v>
      </x:c>
      <x:c r="B3" s="5"/>
      <x:c r="C3" s="5"/>
      <x:c r="D3" s="5"/>
      <x:c r="E3" s="5"/>
      <x:c r="F3" s="5"/>
      <x:c r="G3" s="5"/>
      <x:c r="H3" s="5"/>
      <x:c r="I3" s="5"/>
      <x:c r="J3" s="5"/>
      <x:c r="K3" s="5"/>
    </x:row>
    <x:row r="5" ht="30" customHeight="1">
      <x:c r="A5" s="14" t="str">
        <x:v>record_id</x:v>
      </x:c>
      <x:c r="B5" s="15" t="str">
        <x:v>group</x:v>
      </x:c>
      <x:c r="C5" s="15" t="str">
        <x:v>document</x:v>
      </x:c>
      <x:c r="D5" s="15" t="str">
        <x:v>filename</x:v>
      </x:c>
      <x:c r="E5" s="15" t="str">
        <x:v>date</x:v>
      </x:c>
      <x:c r="F5" s="15" t="str">
        <x:v>locator</x:v>
      </x:c>
      <x:c r="G5" s="15" t="str">
        <x:v>raw description</x:v>
      </x:c>
      <x:c r="H5" s="15" t="str">
        <x:v>raw value</x:v>
      </x:c>
      <x:c r="I5" s="15" t="str">
        <x:v>MOP</x:v>
      </x:c>
      <x:c r="J5" s="15" t="str">
        <x:v>曾選用</x:v>
      </x:c>
      <x:c r="K5" s="16" t="str">
        <x:v>confirmation evidence</x:v>
      </x:c>
    </x:row>
    <x:row r="6">
      <x:c r="A6" s="32" t="str">
        <x:v>PR-AL01-001</x:v>
      </x:c>
      <x:c r="B6" s="50" t="str">
        <x:v>G001</x:v>
      </x:c>
      <x:c r="C6" s="33" t="str">
        <x:v>AL01-FA-2025-01</x:v>
      </x:c>
      <x:c r="D6" s="33" t="str">
        <x:v>AL01-FA-2025-01.xlsx</x:v>
      </x:c>
      <x:c r="E6" s="62" t="n">
        <x:v>45734</x:v>
      </x:c>
      <x:c r="F6" s="33" t="str">
        <x:v>Final Account · Row 42</x:v>
      </x:c>
      <x:c r="G6" s="33" t="str">
        <x:v>Aluminium window waterproofing making good</x:v>
      </x:c>
      <x:c r="H6" s="33" t="str">
        <x:v>MOP 21.24</x:v>
      </x:c>
      <x:c r="I6" s="53" t="n">
        <x:v>21.24</x:v>
      </x:c>
      <x:c r="J6" s="34" t="b">
        <x:v>1</x:v>
      </x:c>
      <x:c r="K6" s="35" t="str">
        <x:v>v004 item-level 人工確認</x:v>
      </x:c>
    </x:row>
    <x:row r="7">
      <x:c r="A7" s="36" t="str">
        <x:v>PR-AL01-002</x:v>
      </x:c>
      <x:c r="B7" s="51" t="str">
        <x:v>G001</x:v>
      </x:c>
      <x:c r="C7" s="37" t="str">
        <x:v>AL01-FA-2025-02</x:v>
      </x:c>
      <x:c r="D7" s="37" t="str">
        <x:v>AL01-FA-2025-02.xlsx</x:v>
      </x:c>
      <x:c r="E7" s="63" t="n">
        <x:v>45666</x:v>
      </x:c>
      <x:c r="F7" s="37" t="str">
        <x:v>Final Account · Row 57</x:v>
      </x:c>
      <x:c r="G7" s="37" t="str">
        <x:v>Window perimeter waterproofing and finishing</x:v>
      </x:c>
      <x:c r="H7" s="37" t="str">
        <x:v>MOP 19.00</x:v>
      </x:c>
      <x:c r="I7" s="54" t="n">
        <x:v>19</x:v>
      </x:c>
      <x:c r="J7" s="38" t="b">
        <x:v>1</x:v>
      </x:c>
      <x:c r="K7" s="39" t="str">
        <x:v>v004 item-level 人工確認</x:v>
      </x:c>
    </x:row>
    <x:row r="8">
      <x:c r="A8" s="36" t="str">
        <x:v>PR-AL01-003</x:v>
      </x:c>
      <x:c r="B8" s="51" t="str">
        <x:v>G001</x:v>
      </x:c>
      <x:c r="C8" s="37" t="str">
        <x:v>AL01-FA-2024-09</x:v>
      </x:c>
      <x:c r="D8" s="37" t="str">
        <x:v>AL01-FA-2024-09.xlsx</x:v>
      </x:c>
      <x:c r="E8" s="63" t="n">
        <x:v>45618</x:v>
      </x:c>
      <x:c r="F8" s="37" t="str">
        <x:v>Cost Summary · Row 31</x:v>
      </x:c>
      <x:c r="G8" s="37" t="str">
        <x:v>Waterproofing to aluminium window surrounds</x:v>
      </x:c>
      <x:c r="H8" s="37" t="str">
        <x:v>MOP 150.00</x:v>
      </x:c>
      <x:c r="I8" s="54" t="n">
        <x:v>150</x:v>
      </x:c>
      <x:c r="J8" s="38" t="b">
        <x:v>0</x:v>
      </x:c>
      <x:c r="K8" s="39" t="str">
        <x:v>v004 item-level 確認：否</x:v>
      </x:c>
    </x:row>
    <x:row r="9">
      <x:c r="A9" s="36" t="str">
        <x:v>PR-AL01-004</x:v>
      </x:c>
      <x:c r="B9" s="51" t="str">
        <x:v>G001</x:v>
      </x:c>
      <x:c r="C9" s="37" t="str">
        <x:v>AL01-FA-2024-05</x:v>
      </x:c>
      <x:c r="D9" s="37" t="str">
        <x:v>AL01-FA-2024-05.xlsx</x:v>
      </x:c>
      <x:c r="E9" s="63" t="n">
        <x:v>45519</x:v>
      </x:c>
      <x:c r="F9" s="37" t="str">
        <x:v>PDF p.18 · Item 7.3</x:v>
      </x:c>
      <x:c r="G9" s="37" t="str">
        <x:v>Complete window edge seal and finish</x:v>
      </x:c>
      <x:c r="H9" s="37" t="str">
        <x:v>MOP 172.50</x:v>
      </x:c>
      <x:c r="I9" s="54" t="n">
        <x:v>172.5</x:v>
      </x:c>
      <x:c r="J9" s="38" t="b">
        <x:v>1</x:v>
      </x:c>
      <x:c r="K9" s="39" t="str">
        <x:v>v004 item-level 人工確認</x:v>
      </x:c>
    </x:row>
    <x:row r="10">
      <x:c r="A10" s="36" t="str">
        <x:v>PR-AL01-005</x:v>
      </x:c>
      <x:c r="B10" s="51" t="str">
        <x:v>G002</x:v>
      </x:c>
      <x:c r="C10" s="37" t="str">
        <x:v>AL01-SC-Q-014</x:v>
      </x:c>
      <x:c r="D10" s="37" t="str">
        <x:v>AL01-SC-Q-014.xlsx</x:v>
      </x:c>
      <x:c r="E10" s="63" t="n">
        <x:v>45750</x:v>
      </x:c>
      <x:c r="F10" s="37" t="str">
        <x:v>PDF p.6 · Item W14</x:v>
      </x:c>
      <x:c r="G10" s="37" t="str">
        <x:v>Complete waterproofing work item</x:v>
      </x:c>
      <x:c r="H10" s="37" t="str">
        <x:v>MOP 3240.00</x:v>
      </x:c>
      <x:c r="I10" s="54" t="n">
        <x:v>3240</x:v>
      </x:c>
      <x:c r="J10" s="38" t="b">
        <x:v>1</x:v>
      </x:c>
      <x:c r="K10" s="39" t="str">
        <x:v>v004 item-level 人工確認</x:v>
      </x:c>
    </x:row>
    <x:row r="11">
      <x:c r="A11" s="36" t="str">
        <x:v>PR-AL01-006</x:v>
      </x:c>
      <x:c r="B11" s="51" t="str">
        <x:v>G002</x:v>
      </x:c>
      <x:c r="C11" s="37" t="str">
        <x:v>AL01-SC-Q-015</x:v>
      </x:c>
      <x:c r="D11" s="37" t="str">
        <x:v>AL01-SC-Q-015.xlsx</x:v>
      </x:c>
      <x:c r="E11" s="63" t="n">
        <x:v>45745</x:v>
      </x:c>
      <x:c r="F11" s="37" t="str">
        <x:v>Quote · Row 26</x:v>
      </x:c>
      <x:c r="G11" s="37" t="str">
        <x:v>Waterproofing lump-sum item</x:v>
      </x:c>
      <x:c r="H11" s="37" t="str">
        <x:v>MOP 3200.00</x:v>
      </x:c>
      <x:c r="I11" s="54" t="n">
        <x:v>3200</x:v>
      </x:c>
      <x:c r="J11" s="38" t="b">
        <x:v>0</x:v>
      </x:c>
      <x:c r="K11" s="39" t="str">
        <x:v>v004 item-level 確認：否</x:v>
      </x:c>
    </x:row>
    <x:row r="12">
      <x:c r="A12" s="40" t="str">
        <x:v>PR-AL01-007</x:v>
      </x:c>
      <x:c r="B12" s="52" t="str">
        <x:v>G003</x:v>
      </x:c>
      <x:c r="C12" s="41" t="str">
        <x:v>AL01-SP-Q-021</x:v>
      </x:c>
      <x:c r="D12" s="41" t="str">
        <x:v>AL01-SP-Q-021.xlsx</x:v>
      </x:c>
      <x:c r="E12" s="64" t="n">
        <x:v>45755</x:v>
      </x:c>
      <x:c r="F12" s="41" t="str">
        <x:v>Supplier Quote · Row 19</x:v>
      </x:c>
      <x:c r="G12" s="41" t="str">
        <x:v>Waterproofing material set</x:v>
      </x:c>
      <x:c r="H12" s="41" t="str">
        <x:v>HKD 168.42</x:v>
      </x:c>
      <x:c r="I12" s="55" t="n">
        <x:v>189.75</x:v>
      </x:c>
      <x:c r="J12" s="42" t="b">
        <x:v>1</x:v>
      </x:c>
      <x:c r="K12" s="43" t="str">
        <x:v>v004 item-level 人工確認</x:v>
      </x:c>
    </x:row>
  </x:sheetData>
  <x:mergeCells>
    <x:mergeCell ref="A2:K2"/>
    <x:mergeCell ref="A3:K3"/>
  </x:mergeCells>
  <x:pageMargins left="0.7" right="0.7" top="0.75" bottom="0.75" header="0.3" footer="0.3"/>
  <x:tableParts count="1">
    <x:tablePart xmlns:r="http://schemas.openxmlformats.org/officeDocument/2006/relationships" r:id="Rd12154f8e25e4381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8" hidden="0" customWidth="1"/>
    <x:col min="2" max="2" width="21" hidden="0" customWidth="1"/>
    <x:col min="3" max="3" width="56" hidden="0" customWidth="1"/>
    <x:col min="4" max="4" width="28" hidden="0" customWidth="1"/>
  </x:cols>
  <x:sheetData>
    <x:row r="2" ht="34" customHeight="1">
      <x:c r="A2" s="2" t="str">
        <x:v>欄位定義｜Field Definitions</x:v>
      </x:c>
      <x:c r="B2" s="2"/>
      <x:c r="C2" s="2"/>
      <x:c r="D2" s="2"/>
    </x:row>
    <x:row r="3" ht="24" customHeight="1">
      <x:c r="A3" s="5" t="str">
        <x:v>只保留理解比較與統計所需的定義。</x:v>
      </x:c>
      <x:c r="B3" s="5"/>
      <x:c r="C3" s="5"/>
      <x:c r="D3" s="5"/>
    </x:row>
    <x:row r="5" ht="30" customHeight="1">
      <x:c r="A5" s="14" t="str">
        <x:v>field</x:v>
      </x:c>
      <x:c r="B5" s="15" t="str">
        <x:v>中文名稱</x:v>
      </x:c>
      <x:c r="C5" s="15" t="str">
        <x:v>definition</x:v>
      </x:c>
      <x:c r="D5" s="16" t="str">
        <x:v>analytics effect</x:v>
      </x:c>
    </x:row>
    <x:row r="6" ht="34" customHeight="1">
      <x:c r="A6" s="121" t="str">
        <x:v>price_semantic</x:v>
      </x:c>
      <x:c r="B6" s="122" t="str">
        <x:v>價格語義</x:v>
      </x:c>
      <x:c r="C6" s="122" t="str">
        <x:v>判頭／供應商報價、實支、歷史出街及project成本等批准類型。</x:v>
      </x:c>
      <x:c r="D6" s="123" t="str">
        <x:v>不同語義分組</x:v>
      </x:c>
    </x:row>
    <x:row r="7" ht="34" customHeight="1">
      <x:c r="A7" s="124" t="str">
        <x:v>standard_unit</x:v>
      </x:c>
      <x:c r="B7" s="125" t="str">
        <x:v>標準單位</x:v>
      </x:c>
      <x:c r="C7" s="125" t="str">
        <x:v>批准單位碼，例如 m²、m、item、set。</x:v>
      </x:c>
      <x:c r="D7" s="126" t="str">
        <x:v>不同單位分組</x:v>
      </x:c>
    </x:row>
    <x:row r="8" ht="34" customHeight="1">
      <x:c r="A8" s="124" t="str">
        <x:v>standard_quote_type</x:v>
      </x:c>
      <x:c r="B8" s="125" t="str">
        <x:v>標準報價類型</x:v>
      </x:c>
      <x:c r="C8" s="125" t="str">
        <x:v>LABOUR_ONLY、LABOUR_AND_MATERIAL、MATERIAL_ONLY、LUMP_SUM。</x:v>
      </x:c>
      <x:c r="D8" s="126" t="str">
        <x:v>group key dimension</x:v>
      </x:c>
    </x:row>
    <x:row r="9" ht="34" customHeight="1">
      <x:c r="A9" s="124" t="str">
        <x:v>scope_signature</x:v>
      </x:c>
      <x:c r="B9" s="125" t="str">
        <x:v>範圍定義</x:v>
      </x:c>
      <x:c r="C9" s="125" t="str">
        <x:v>依批准 scope tokens 的穩定文字表示；Importer 不猜測。</x:v>
      </x:c>
      <x:c r="D9" s="126" t="str">
        <x:v>group key dimension</x:v>
      </x:c>
    </x:row>
    <x:row r="10" ht="34" customHeight="1">
      <x:c r="A10" s="124" t="str">
        <x:v>unit_cost_basis</x:v>
      </x:c>
      <x:c r="B10" s="125" t="str">
        <x:v>單價／數量基礎</x:v>
      </x:c>
      <x:c r="C10" s="125" t="str">
        <x:v>quoted rate、outgoing rate、expense ÷ quantity 等批准基準。</x:v>
      </x:c>
      <x:c r="D10" s="126" t="str">
        <x:v>group key dimension</x:v>
      </x:c>
    </x:row>
    <x:row r="11" ht="34" customHeight="1">
      <x:c r="A11" s="124" t="str">
        <x:v>transport_inclusion</x:v>
      </x:c>
      <x:c r="B11" s="125" t="str">
        <x:v>運輸狀態</x:v>
      </x:c>
      <x:c r="C11" s="125" t="str">
        <x:v>INCLUDED、EXCLUDED、SEPARATE_LINE 或 NOT_APPLICABLE。</x:v>
      </x:c>
      <x:c r="D11" s="126" t="str">
        <x:v>group key dimension</x:v>
      </x:c>
    </x:row>
    <x:row r="12" ht="34" customHeight="1">
      <x:c r="A12" s="124" t="str">
        <x:v>mop_value</x:v>
      </x:c>
      <x:c r="B12" s="125" t="str">
        <x:v>MOP 比較值</x:v>
      </x:c>
      <x:c r="C12" s="125" t="str">
        <x:v>原幣值乘以已批准歷史匯率；統計使用未四捨五入值。</x:v>
      </x:c>
      <x:c r="D12" s="126" t="str">
        <x:v>唯一統計數值</x:v>
      </x:c>
    </x:row>
    <x:row r="13" ht="34" customHeight="1">
      <x:c r="A13" s="124" t="str">
        <x:v>analytics_group_id</x:v>
      </x:c>
      <x:c r="B13" s="125" t="str">
        <x:v>分析組 ID</x:v>
      </x:c>
      <x:c r="C13" s="125" t="str">
        <x:v>同一份 export 內連結統計、已選資料與來源證據。</x:v>
      </x:c>
      <x:c r="D13" s="126" t="str">
        <x:v>G001、G002…</x:v>
      </x:c>
    </x:row>
    <x:row r="14" ht="34" customHeight="1">
      <x:c r="A14" s="124" t="str">
        <x:v>n thresholds</x:v>
      </x:c>
      <x:c r="B14" s="125" t="str">
        <x:v>樣本門檻</x:v>
      </x:c>
      <x:c r="C14" s="125" t="str">
        <x:v>n=1 原值；n=2–3 基本統計；n≥4 加 P25／P75。</x:v>
      </x:c>
      <x:c r="D14" s="126" t="str">
        <x:v>限制可顯示指標</x:v>
      </x:c>
    </x:row>
    <x:row r="15" ht="34" customHeight="1">
      <x:c r="A15" s="127" t="str">
        <x:v>cross-group statistics</x:v>
      </x:c>
      <x:c r="B15" s="128" t="str">
        <x:v>跨組統計</x:v>
      </x:c>
      <x:c r="C15" s="128" t="str">
        <x:v>永不計算 overall average、median 或 percentile。</x:v>
      </x:c>
      <x:c r="D15" s="129" t="str">
        <x:v>禁止</x:v>
      </x:c>
    </x:row>
  </x:sheetData>
  <x:mergeCells>
    <x:mergeCell ref="A2:D2"/>
    <x:mergeCell ref="A3:D3"/>
  </x:mergeCells>
  <x:pageMargins left="0.7" right="0.7" top="0.75" bottom="0.75" header="0.3" footer="0.3"/>
  <x:tableParts count="1">
    <x:tablePart xmlns:r="http://schemas.openxmlformats.org/officeDocument/2006/relationships" r:id="R45f973accf9e4c9a"/>
  </x:tableParts>
</x:worksheet>
</file>