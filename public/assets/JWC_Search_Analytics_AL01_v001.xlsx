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9ce95786ab6464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分析總覽" sheetId="1" r:id="R383d00e34c9a456d"/>
    <x:sheet xmlns:r="http://schemas.openxmlformats.org/officeDocument/2006/relationships" name="分組統計" sheetId="2" r:id="R5998e4bf65b84e71"/>
    <x:sheet xmlns:r="http://schemas.openxmlformats.org/officeDocument/2006/relationships" name="已選資料" sheetId="3" r:id="R8f5e41ea727f4a10"/>
    <x:sheet xmlns:r="http://schemas.openxmlformats.org/officeDocument/2006/relationships" name="來源證據" sheetId="4" r:id="Ra6170b3814c4469f"/>
    <x:sheet xmlns:r="http://schemas.openxmlformats.org/officeDocument/2006/relationships" name="欄位定義" sheetId="5" r:id="R112f899517494265"/>
  </x:sheets>
</x:workbook>
</file>

<file path=xl/comments1.xml><?xml version="1.0" encoding="utf-8"?>
<x:comments xmlns:x="http://schemas.openxmlformats.org/spreadsheetml/2006/main">
  <x:authors>
    <x:author>tc={50440FD1-8DAF-6B6C-FE80-EC3F90942676}</x:author>
    <x:author>tc={B6602FDD-6D8C-4AA9-57EF-E8FB1EA42AD3}</x:author>
  </x:authors>
  <x:commentList>
    <x:comment ref="K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統計門檻：只有n≥2才計算min／max／average／median；本欄公式直接引用『已選資料』的MOP值。</x:t>
        </x:r>
      </x:text>
    </x:comment>
    <x:comment ref="O5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百分位數只在n≥4顯示，採Excel PERCENTILE.INC等價口徑。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.00"/>
    <x:numFmt numFmtId="201" formatCode="yyyy-mm-dd"/>
    <x:numFmt numFmtId="202" formatCode="#,##0"/>
    <x:numFmt numFmtId="203" formatCode="0.00000000"/>
  </x:numFmts>
  <x:fonts count="11">
    <x:font>
      <x:sz val="11"/>
      <x:name val="Carlito"/>
    </x:font>
    <x:font>
      <x:b/>
      <x:sz val="20"/>
      <x:color rgb="FFFFFFFF"/>
      <x:name val="Aptos Display"/>
    </x:font>
    <x:font>
      <x:sz val="10"/>
      <x:color rgb="FFDCE8F5"/>
      <x:name val="Aptos"/>
    </x:font>
    <x:font>
      <x:b/>
      <x:sz val="9"/>
      <x:color rgb="FFFFFFFF"/>
      <x:name val="Carlito"/>
    </x:font>
    <x:font>
      <x:b/>
      <x:sz val="11"/>
      <x:color rgb="FFD71920"/>
      <x:name val="Carlito"/>
    </x:font>
    <x:font>
      <x:b/>
      <x:sz val="11"/>
      <x:color rgb="FF071A2F"/>
      <x:name val="Carlito"/>
    </x:font>
    <x:font>
      <x:b/>
      <x:sz val="11"/>
      <x:color rgb="FF0B2748"/>
      <x:name val="Carlito"/>
    </x:font>
    <x:font>
      <x:sz val="11"/>
      <x:color rgb="FF17263A"/>
      <x:name val="Carlito"/>
    </x:font>
    <x:font>
      <x:sz val="8"/>
      <x:color rgb="FF5D6B7C"/>
      <x:name val="Consolas"/>
    </x:font>
    <x:font>
      <x:b/>
      <x:sz val="11"/>
      <x:color rgb="FF5D6B7C"/>
      <x:name val="Carlito"/>
    </x:font>
    <x:font>
      <x:b/>
      <x:sz val="24"/>
      <x:color rgb="FF071A2F"/>
      <x:name val="Carlito"/>
    </x:font>
  </x:fonts>
  <x:fills count="9">
    <x:fill>
      <x:patternFill patternType="none"/>
    </x:fill>
    <x:fill>
      <x:patternFill patternType="gray125"/>
    </x:fill>
    <x:fill>
      <x:patternFill patternType="solid">
        <x:fgColor rgb="FF071A2F"/>
      </x:patternFill>
    </x:fill>
    <x:fill>
      <x:patternFill patternType="solid">
        <x:fgColor rgb="FF0B2748"/>
      </x:patternFill>
    </x:fill>
    <x:fill>
      <x:patternFill patternType="solid">
        <x:fgColor rgb="FFFAFCFE"/>
      </x:patternFill>
    </x:fill>
    <x:fill>
      <x:patternFill patternType="solid">
        <x:fgColor rgb="FFFCEBEC"/>
      </x:patternFill>
    </x:fill>
    <x:fill>
      <x:patternFill patternType="solid">
        <x:fgColor rgb="FFEAF1F8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</x:fills>
  <x:borders count="26">
    <x:border/>
    <x:border>
      <x:right style="thin">
        <x:color rgb="FF294661"/>
      </x:right>
    </x:border>
    <x:border>
      <x:left style="thin">
        <x:color rgb="FF294661"/>
      </x:left>
      <x:right style="thin">
        <x:color rgb="FF294661"/>
      </x:right>
    </x:border>
    <x:border>
      <x:left style="thin">
        <x:color rgb="FF294661"/>
      </x:left>
    </x:border>
    <x:border>
      <x:right style="thin">
        <x:color rgb="FFD7DFE8"/>
      </x:right>
      <x:bottom style="thin">
        <x:color rgb="FFD7DFE8"/>
      </x:bottom>
    </x:border>
    <x:border>
      <x:left style="thin">
        <x:color rgb="FFD7DFE8"/>
      </x:left>
      <x:right style="thin">
        <x:color rgb="FFD7DFE8"/>
      </x:right>
      <x:bottom style="thin">
        <x:color rgb="FFD7DFE8"/>
      </x:bottom>
    </x:border>
    <x:border>
      <x:left style="thin">
        <x:color rgb="FFD7DFE8"/>
      </x:left>
      <x:bottom style="thin">
        <x:color rgb="FFD7DFE8"/>
      </x:bottom>
    </x:border>
    <x:border>
      <x:right style="thin">
        <x:color rgb="FFD7DFE8"/>
      </x:right>
      <x:top style="thin">
        <x:color rgb="FFD7DFE8"/>
      </x:top>
      <x:bottom style="thin">
        <x:color rgb="FFD7DFE8"/>
      </x:bottom>
    </x:border>
    <x:border>
      <x:left style="thin">
        <x:color rgb="FFD7DFE8"/>
      </x:left>
      <x:right style="thin">
        <x:color rgb="FFD7DFE8"/>
      </x:right>
      <x:top style="thin">
        <x:color rgb="FFD7DFE8"/>
      </x:top>
      <x:bottom style="thin">
        <x:color rgb="FFD7DFE8"/>
      </x:bottom>
    </x:border>
    <x:border>
      <x:left style="thin">
        <x:color rgb="FFD7DFE8"/>
      </x:left>
      <x:top style="thin">
        <x:color rgb="FFD7DFE8"/>
      </x:top>
      <x:bottom style="thin">
        <x:color rgb="FFD7DFE8"/>
      </x:bottom>
    </x:border>
    <x:border>
      <x:right style="thin">
        <x:color rgb="FFD7DFE8"/>
      </x:right>
      <x:top style="thin">
        <x:color rgb="FFD7DFE8"/>
      </x:top>
    </x:border>
    <x:border>
      <x:left style="thin">
        <x:color rgb="FFD7DFE8"/>
      </x:left>
      <x:right style="thin">
        <x:color rgb="FFD7DFE8"/>
      </x:right>
      <x:top style="thin">
        <x:color rgb="FFD7DFE8"/>
      </x:top>
    </x:border>
    <x:border>
      <x:left style="thin">
        <x:color rgb="FFD7DFE8"/>
      </x:left>
      <x:top style="thin">
        <x:color rgb="FFD7DFE8"/>
      </x:top>
    </x:border>
    <x:border>
      <x:top style="thin">
        <x:color rgb="FFD7DFE8"/>
      </x:top>
      <x:bottom style="thin">
        <x:color rgb="FFD7DFE8"/>
      </x:bottom>
    </x:border>
    <x:border>
      <x:left style="medium">
        <x:color rgb="FFD7DFE8"/>
      </x:left>
      <x:top style="medium">
        <x:color rgb="FFD7DFE8"/>
      </x:top>
    </x:border>
    <x:border>
      <x:top style="medium">
        <x:color rgb="FFD7DFE8"/>
      </x:top>
    </x:border>
    <x:border>
      <x:right style="medium">
        <x:color rgb="FFD7DFE8"/>
      </x:right>
      <x:top style="medium">
        <x:color rgb="FFD7DFE8"/>
      </x:top>
    </x:border>
    <x:border>
      <x:left style="medium">
        <x:color rgb="FFD7DFE8"/>
      </x:left>
      <x:bottom style="medium">
        <x:color rgb="FFD7DFE8"/>
      </x:bottom>
    </x:border>
    <x:border>
      <x:bottom style="medium">
        <x:color rgb="FFD7DFE8"/>
      </x:bottom>
    </x:border>
    <x:border>
      <x:right style="medium">
        <x:color rgb="FFD7DFE8"/>
      </x:right>
      <x:bottom style="medium">
        <x:color rgb="FFD7DFE8"/>
      </x:bottom>
    </x:border>
    <x:border>
      <x:right style="thin">
        <x:color rgb="FFE7B9BC"/>
      </x:right>
      <x:bottom style="thin">
        <x:color rgb="FFE7B9BC"/>
      </x:bottom>
    </x:border>
    <x:border>
      <x:left style="thin">
        <x:color rgb="FFE7B9BC"/>
      </x:left>
      <x:right style="thin">
        <x:color rgb="FFE7B9BC"/>
      </x:right>
      <x:bottom style="thin">
        <x:color rgb="FFE7B9BC"/>
      </x:bottom>
    </x:border>
    <x:border>
      <x:left style="thin">
        <x:color rgb="FFE7B9BC"/>
      </x:left>
      <x:bottom style="thin">
        <x:color rgb="FFE7B9BC"/>
      </x:bottom>
    </x:border>
    <x:border>
      <x:right style="thin">
        <x:color rgb="FFE7B9BC"/>
      </x:right>
      <x:top style="thin">
        <x:color rgb="FFE7B9BC"/>
      </x:top>
    </x:border>
    <x:border>
      <x:left style="thin">
        <x:color rgb="FFE7B9BC"/>
      </x:left>
      <x:right style="thin">
        <x:color rgb="FFE7B9BC"/>
      </x:right>
      <x:top style="thin">
        <x:color rgb="FFE7B9BC"/>
      </x:top>
    </x:border>
    <x:border>
      <x:left style="thin">
        <x:color rgb="FFE7B9BC"/>
      </x:left>
      <x:top style="thin">
        <x:color rgb="FFE7B9BC"/>
      </x:top>
    </x:border>
  </x:borders>
  <x:cellStyleXfs count="1">
    <x:xf numFmtId="0" fontId="0" fillId="0" borderId="0"/>
  </x:cellStyleXfs>
  <x:cellXfs count="2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2" xfId="0" applyNumberFormat="1" applyFont="1" applyFill="1" applyBorder="1" applyAlignment="1">
      <x:alignment wrapText="1"/>
    </x:xf>
    <x:xf numFmtId="0" fontId="3" fillId="3" borderId="3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vertical="center" wrapText="1"/>
    </x:xf>
    <x:xf numFmtId="0" fontId="3" fillId="3" borderId="2" xfId="0" applyNumberFormat="1" applyFont="1" applyFill="1" applyBorder="1" applyAlignment="1">
      <x:alignment vertical="center" wrapText="1"/>
    </x:xf>
    <x:xf numFmtId="0" fontId="3" fillId="3" borderId="3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8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/>
    <x:xf numFmtId="0" fontId="0" fillId="0" borderId="4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vertical="top"/>
    </x:xf>
    <x:xf numFmtId="0" fontId="0" fillId="0" borderId="7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</x:xf>
    <x:xf numFmtId="0" fontId="0" fillId="0" borderId="8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vertical="top"/>
    </x:xf>
    <x:xf numFmtId="0" fontId="0" fillId="0" borderId="10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/>
    </x:xf>
    <x:xf numFmtId="0" fontId="0" fillId="0" borderId="11" xfId="0" applyNumberFormat="1" applyFont="1" applyFill="1" applyBorder="1" applyAlignment="1">
      <x:alignment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vertical="top"/>
    </x:xf>
    <x:xf numFmtId="200" fontId="0" fillId="0" borderId="5" xfId="0" applyNumberFormat="1" applyFont="1" applyFill="1" applyBorder="1" applyAlignment="1">
      <x:alignment vertical="top"/>
    </x:xf>
    <x:xf numFmtId="200" fontId="0" fillId="0" borderId="8" xfId="0" applyNumberFormat="1" applyFont="1" applyFill="1" applyBorder="1" applyAlignment="1">
      <x:alignment vertical="top"/>
    </x:xf>
    <x:xf numFmtId="200" fontId="0" fillId="0" borderId="11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201" fontId="0" fillId="0" borderId="8" xfId="0" applyNumberFormat="1" applyFont="1" applyFill="1" applyBorder="1" applyAlignment="1">
      <x:alignment vertical="top"/>
    </x:xf>
    <x:xf numFmtId="201" fontId="0" fillId="0" borderId="11" xfId="0" applyNumberFormat="1" applyFont="1" applyFill="1" applyBorder="1" applyAlignment="1">
      <x:alignment vertical="top"/>
    </x:xf>
    <x:xf numFmtId="0" fontId="0" fillId="0" borderId="5" xfId="0" applyNumberFormat="1" applyFont="1" applyFill="1" applyBorder="1" applyAlignment="1">
      <x:alignment horizontal="center"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8" xfId="0" applyNumberFormat="1" applyFont="1" applyFill="1" applyBorder="1" applyAlignment="1">
      <x:alignment horizontal="center"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1" xfId="0" applyNumberFormat="1" applyFont="1" applyFill="1" applyBorder="1" applyAlignment="1">
      <x:alignment horizontal="center" vertical="top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4" borderId="4" xfId="0" applyNumberFormat="1" applyFont="1" applyFill="1" applyBorder="1" applyAlignment="1">
      <x:alignment vertical="top"/>
    </x:xf>
    <x:xf numFmtId="0" fontId="0" fillId="4" borderId="5" xfId="0" applyNumberFormat="1" applyFont="1" applyFill="1" applyBorder="1" applyAlignment="1">
      <x:alignment vertical="top"/>
    </x:xf>
    <x:xf numFmtId="0" fontId="0" fillId="4" borderId="7" xfId="0" applyNumberFormat="1" applyFont="1" applyFill="1" applyBorder="1" applyAlignment="1">
      <x:alignment vertical="top"/>
    </x:xf>
    <x:xf numFmtId="0" fontId="0" fillId="4" borderId="8" xfId="0" applyNumberFormat="1" applyFont="1" applyFill="1" applyBorder="1" applyAlignment="1">
      <x:alignment vertical="top"/>
    </x:xf>
    <x:xf numFmtId="0" fontId="0" fillId="4" borderId="10" xfId="0" applyNumberFormat="1" applyFont="1" applyFill="1" applyBorder="1" applyAlignment="1">
      <x:alignment vertical="top"/>
    </x:xf>
    <x:xf numFmtId="0" fontId="0" fillId="4" borderId="11" xfId="0" applyNumberFormat="1" applyFont="1" applyFill="1" applyBorder="1" applyAlignment="1">
      <x:alignment vertical="top"/>
    </x:xf>
    <x:xf numFmtId="0" fontId="0" fillId="5" borderId="5" xfId="0" applyNumberFormat="1" applyFont="1" applyFill="1" applyBorder="1" applyAlignment="1">
      <x:alignment vertical="top"/>
    </x:xf>
    <x:xf numFmtId="0" fontId="0" fillId="5" borderId="8" xfId="0" applyNumberFormat="1" applyFont="1" applyFill="1" applyBorder="1" applyAlignment="1">
      <x:alignment vertical="top"/>
    </x:xf>
    <x:xf numFmtId="0" fontId="0" fillId="5" borderId="11" xfId="0" applyNumberFormat="1" applyFont="1" applyFill="1" applyBorder="1" applyAlignment="1">
      <x:alignment vertical="top"/>
    </x:xf>
    <x:xf numFmtId="0" fontId="4" fillId="5" borderId="5" xfId="0" applyNumberFormat="1" applyFont="1" applyFill="1" applyBorder="1" applyAlignment="1">
      <x:alignment vertical="top"/>
    </x:xf>
    <x:xf numFmtId="0" fontId="4" fillId="5" borderId="8" xfId="0" applyNumberFormat="1" applyFont="1" applyFill="1" applyBorder="1" applyAlignment="1">
      <x:alignment vertical="top"/>
    </x:xf>
    <x:xf numFmtId="0" fontId="4" fillId="5" borderId="11" xfId="0" applyNumberFormat="1" applyFont="1" applyFill="1" applyBorder="1" applyAlignment="1">
      <x:alignment vertical="top"/>
    </x:xf>
    <x:xf numFmtId="0" fontId="4" fillId="5" borderId="5" xfId="0" applyNumberFormat="1" applyFont="1" applyFill="1" applyBorder="1" applyAlignment="1">
      <x:alignment horizontal="center" vertical="top"/>
    </x:xf>
    <x:xf numFmtId="0" fontId="4" fillId="5" borderId="8" xfId="0" applyNumberFormat="1" applyFont="1" applyFill="1" applyBorder="1" applyAlignment="1">
      <x:alignment horizontal="center" vertical="top"/>
    </x:xf>
    <x:xf numFmtId="0" fontId="4" fillId="5" borderId="11" xfId="0" applyNumberFormat="1" applyFont="1" applyFill="1" applyBorder="1" applyAlignment="1">
      <x:alignment horizontal="center" vertical="top"/>
    </x:xf>
    <x:xf numFmtId="200" fontId="5" fillId="0" borderId="5" xfId="0" applyNumberFormat="1" applyFont="1" applyFill="1" applyBorder="1" applyAlignment="1">
      <x:alignment vertical="top"/>
    </x:xf>
    <x:xf numFmtId="200" fontId="5" fillId="0" borderId="8" xfId="0" applyNumberFormat="1" applyFont="1" applyFill="1" applyBorder="1" applyAlignment="1">
      <x:alignment vertical="top"/>
    </x:xf>
    <x:xf numFmtId="200" fontId="5" fillId="0" borderId="11" xfId="0" applyNumberFormat="1" applyFont="1" applyFill="1" applyBorder="1" applyAlignment="1">
      <x:alignment vertical="top"/>
    </x:xf>
    <x:xf numFmtId="0" fontId="0" fillId="4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</x:xf>
    <x:xf numFmtId="200" fontId="0" fillId="0" borderId="5" xfId="0" applyNumberFormat="1" applyFont="1" applyFill="1" applyBorder="1" applyAlignment="1">
      <x:alignment vertical="top" wrapText="1"/>
    </x:xf>
    <x:xf numFmtId="200" fontId="5" fillId="0" borderId="5" xfId="0" applyNumberFormat="1" applyFont="1" applyFill="1" applyBorder="1" applyAlignment="1">
      <x:alignment vertical="top" wrapText="1"/>
    </x:xf>
    <x:xf numFmtId="201" fontId="0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6" xfId="0" applyNumberFormat="1" applyFont="1" applyFill="1" applyBorder="1" applyAlignment="1">
      <x:alignment vertical="top" wrapText="1"/>
    </x:xf>
    <x:xf numFmtId="0" fontId="0" fillId="4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</x:xf>
    <x:xf numFmtId="200" fontId="0" fillId="0" borderId="8" xfId="0" applyNumberFormat="1" applyFont="1" applyFill="1" applyBorder="1" applyAlignment="1">
      <x:alignment vertical="top" wrapText="1"/>
    </x:xf>
    <x:xf numFmtId="200" fontId="5" fillId="0" borderId="8" xfId="0" applyNumberFormat="1" applyFont="1" applyFill="1" applyBorder="1" applyAlignment="1">
      <x:alignment vertical="top" wrapText="1"/>
    </x:xf>
    <x:xf numFmtId="201" fontId="0" fillId="0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9" xfId="0" applyNumberFormat="1" applyFont="1" applyFill="1" applyBorder="1" applyAlignment="1">
      <x:alignment vertical="top" wrapText="1"/>
    </x:xf>
    <x:xf numFmtId="0" fontId="0" fillId="4" borderId="1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200" fontId="0" fillId="0" borderId="11" xfId="0" applyNumberFormat="1" applyFont="1" applyFill="1" applyBorder="1" applyAlignment="1">
      <x:alignment vertical="top" wrapText="1"/>
    </x:xf>
    <x:xf numFmtId="200" fontId="5" fillId="0" borderId="11" xfId="0" applyNumberFormat="1" applyFont="1" applyFill="1" applyBorder="1" applyAlignment="1">
      <x:alignment vertical="top" wrapText="1"/>
    </x:xf>
    <x:xf numFmtId="201" fontId="0" fillId="0" borderId="1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2" xfId="0" applyNumberFormat="1" applyFont="1" applyFill="1" applyBorder="1" applyAlignment="1">
      <x:alignment vertical="top" wrapText="1"/>
    </x:xf>
    <x:xf numFmtId="0" fontId="0" fillId="5" borderId="4" xfId="0" applyNumberFormat="1" applyFont="1" applyFill="1" applyBorder="1" applyAlignment="1">
      <x:alignment vertical="top"/>
    </x:xf>
    <x:xf numFmtId="0" fontId="0" fillId="5" borderId="7" xfId="0" applyNumberFormat="1" applyFont="1" applyFill="1" applyBorder="1" applyAlignment="1">
      <x:alignment vertical="top"/>
    </x:xf>
    <x:xf numFmtId="0" fontId="0" fillId="5" borderId="10" xfId="0" applyNumberFormat="1" applyFont="1" applyFill="1" applyBorder="1" applyAlignment="1">
      <x:alignment vertical="top"/>
    </x:xf>
    <x:xf numFmtId="0" fontId="4" fillId="5" borderId="4" xfId="0" applyNumberFormat="1" applyFont="1" applyFill="1" applyBorder="1" applyAlignment="1">
      <x:alignment vertical="top"/>
    </x:xf>
    <x:xf numFmtId="0" fontId="4" fillId="5" borderId="7" xfId="0" applyNumberFormat="1" applyFont="1" applyFill="1" applyBorder="1" applyAlignment="1">
      <x:alignment vertical="top"/>
    </x:xf>
    <x:xf numFmtId="0" fontId="4" fillId="5" borderId="10" xfId="0" applyNumberFormat="1" applyFont="1" applyFill="1" applyBorder="1" applyAlignment="1">
      <x:alignment vertical="top"/>
    </x:xf>
    <x:xf numFmtId="0" fontId="4" fillId="5" borderId="4" xfId="0" applyNumberFormat="1" applyFont="1" applyFill="1" applyBorder="1" applyAlignment="1">
      <x:alignment horizontal="center" vertical="top"/>
    </x:xf>
    <x:xf numFmtId="0" fontId="4" fillId="5" borderId="7" xfId="0" applyNumberFormat="1" applyFont="1" applyFill="1" applyBorder="1" applyAlignment="1">
      <x:alignment horizontal="center" vertical="top"/>
    </x:xf>
    <x:xf numFmtId="0" fontId="4" fillId="5" borderId="10" xfId="0" applyNumberFormat="1" applyFont="1" applyFill="1" applyBorder="1" applyAlignment="1">
      <x:alignment horizontal="center" vertical="top"/>
    </x:xf>
    <x:xf numFmtId="0" fontId="0" fillId="6" borderId="5" xfId="0" applyNumberFormat="1" applyFont="1" applyFill="1" applyBorder="1" applyAlignment="1">
      <x:alignment vertical="top"/>
    </x:xf>
    <x:xf numFmtId="0" fontId="0" fillId="6" borderId="8" xfId="0" applyNumberFormat="1" applyFont="1" applyFill="1" applyBorder="1" applyAlignment="1">
      <x:alignment vertical="top"/>
    </x:xf>
    <x:xf numFmtId="0" fontId="0" fillId="6" borderId="11" xfId="0" applyNumberFormat="1" applyFont="1" applyFill="1" applyBorder="1" applyAlignment="1">
      <x:alignment vertical="top"/>
    </x:xf>
    <x:xf numFmtId="0" fontId="6" fillId="6" borderId="5" xfId="0" applyNumberFormat="1" applyFont="1" applyFill="1" applyBorder="1" applyAlignment="1">
      <x:alignment vertical="top"/>
    </x:xf>
    <x:xf numFmtId="0" fontId="6" fillId="6" borderId="8" xfId="0" applyNumberFormat="1" applyFont="1" applyFill="1" applyBorder="1" applyAlignment="1">
      <x:alignment vertical="top"/>
    </x:xf>
    <x:xf numFmtId="0" fontId="6" fillId="6" borderId="11" xfId="0" applyNumberFormat="1" applyFont="1" applyFill="1" applyBorder="1" applyAlignment="1">
      <x:alignment vertical="top"/>
    </x:xf>
    <x:xf numFmtId="202" fontId="6" fillId="6" borderId="5" xfId="0" applyNumberFormat="1" applyFont="1" applyFill="1" applyBorder="1" applyAlignment="1">
      <x:alignment vertical="top"/>
    </x:xf>
    <x:xf numFmtId="202" fontId="6" fillId="6" borderId="8" xfId="0" applyNumberFormat="1" applyFont="1" applyFill="1" applyBorder="1" applyAlignment="1">
      <x:alignment vertical="top"/>
    </x:xf>
    <x:xf numFmtId="202" fontId="6" fillId="6" borderId="11" xfId="0" applyNumberFormat="1" applyFont="1" applyFill="1" applyBorder="1" applyAlignment="1">
      <x:alignment vertical="top"/>
    </x:xf>
    <x:xf numFmtId="202" fontId="6" fillId="6" borderId="5" xfId="0" applyNumberFormat="1" applyFont="1" applyFill="1" applyBorder="1" applyAlignment="1">
      <x:alignment horizontal="center" vertical="top"/>
    </x:xf>
    <x:xf numFmtId="202" fontId="6" fillId="6" borderId="8" xfId="0" applyNumberFormat="1" applyFont="1" applyFill="1" applyBorder="1" applyAlignment="1">
      <x:alignment horizontal="center" vertical="top"/>
    </x:xf>
    <x:xf numFmtId="202" fontId="6" fillId="6" borderId="11" xfId="0" applyNumberFormat="1" applyFont="1" applyFill="1" applyBorder="1" applyAlignment="1">
      <x:alignment horizontal="center" vertical="top"/>
    </x:xf>
    <x:xf numFmtId="200" fontId="0" fillId="4" borderId="5" xfId="0" applyNumberFormat="1" applyFont="1" applyFill="1" applyBorder="1" applyAlignment="1">
      <x:alignment vertical="top"/>
    </x:xf>
    <x:xf numFmtId="200" fontId="0" fillId="4" borderId="8" xfId="0" applyNumberFormat="1" applyFont="1" applyFill="1" applyBorder="1" applyAlignment="1">
      <x:alignment vertical="top"/>
    </x:xf>
    <x:xf numFmtId="200" fontId="0" fillId="4" borderId="11" xfId="0" applyNumberFormat="1" applyFont="1" applyFill="1" applyBorder="1" applyAlignment="1">
      <x:alignment vertical="top"/>
    </x:xf>
    <x:xf numFmtId="200" fontId="0" fillId="4" borderId="5" xfId="0" applyNumberFormat="1" applyFont="1" applyFill="1" applyBorder="1" applyAlignment="1">
      <x:alignment vertical="top" wrapText="1"/>
    </x:xf>
    <x:xf numFmtId="200" fontId="0" fillId="4" borderId="8" xfId="0" applyNumberFormat="1" applyFont="1" applyFill="1" applyBorder="1" applyAlignment="1">
      <x:alignment vertical="top" wrapText="1"/>
    </x:xf>
    <x:xf numFmtId="200" fontId="0" fillId="4" borderId="11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9" xfId="0" applyNumberFormat="1" applyFont="1" applyFill="1" applyBorder="1"/>
    <x:xf numFmtId="0" fontId="6" fillId="6" borderId="13" xfId="0" applyNumberFormat="1" applyFont="1" applyFill="1" applyBorder="1"/>
    <x:xf numFmtId="0" fontId="6" fillId="6" borderId="7" xfId="0" applyNumberFormat="1" applyFont="1" applyFill="1" applyBorder="1"/>
    <x:xf numFmtId="0" fontId="6" fillId="6" borderId="9" xfId="0" applyNumberFormat="1" applyFont="1" applyFill="1" applyBorder="1" applyAlignment="1">
      <x:alignment vertical="center"/>
    </x:xf>
    <x:xf numFmtId="0" fontId="6" fillId="6" borderId="13" xfId="0" applyNumberFormat="1" applyFont="1" applyFill="1" applyBorder="1" applyAlignment="1">
      <x:alignment vertical="center"/>
    </x:xf>
    <x:xf numFmtId="0" fontId="6" fillId="6" borderId="7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7" fillId="7" borderId="4" xfId="0" applyNumberFormat="1" applyFont="1" applyFill="1" applyBorder="1"/>
    <x:xf numFmtId="0" fontId="7" fillId="7" borderId="5" xfId="0" applyNumberFormat="1" applyFont="1" applyFill="1" applyBorder="1"/>
    <x:xf numFmtId="0" fontId="7" fillId="7" borderId="6" xfId="0" applyNumberFormat="1" applyFont="1" applyFill="1" applyBorder="1"/>
    <x:xf numFmtId="0" fontId="7" fillId="7" borderId="7" xfId="0" applyNumberFormat="1" applyFont="1" applyFill="1" applyBorder="1"/>
    <x:xf numFmtId="0" fontId="7" fillId="7" borderId="8" xfId="0" applyNumberFormat="1" applyFont="1" applyFill="1" applyBorder="1"/>
    <x:xf numFmtId="0" fontId="7" fillId="7" borderId="9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7" fillId="7" borderId="12" xfId="0" applyNumberFormat="1" applyFont="1" applyFill="1" applyBorder="1"/>
    <x:xf numFmtId="0" fontId="7" fillId="7" borderId="4" xfId="0" applyNumberFormat="1" applyFont="1" applyFill="1" applyBorder="1" applyAlignment="1">
      <x:alignment wrapText="1"/>
    </x:xf>
    <x:xf numFmtId="0" fontId="7" fillId="7" borderId="5" xfId="0" applyNumberFormat="1" applyFont="1" applyFill="1" applyBorder="1" applyAlignment="1">
      <x:alignment wrapText="1"/>
    </x:xf>
    <x:xf numFmtId="0" fontId="7" fillId="7" borderId="6" xfId="0" applyNumberFormat="1" applyFont="1" applyFill="1" applyBorder="1" applyAlignment="1">
      <x:alignment wrapText="1"/>
    </x:xf>
    <x:xf numFmtId="0" fontId="7" fillId="7" borderId="7" xfId="0" applyNumberFormat="1" applyFont="1" applyFill="1" applyBorder="1" applyAlignment="1">
      <x:alignment wrapText="1"/>
    </x:xf>
    <x:xf numFmtId="0" fontId="7" fillId="7" borderId="8" xfId="0" applyNumberFormat="1" applyFont="1" applyFill="1" applyBorder="1" applyAlignment="1">
      <x:alignment wrapText="1"/>
    </x:xf>
    <x:xf numFmtId="0" fontId="7" fillId="7" borderId="9" xfId="0" applyNumberFormat="1" applyFont="1" applyFill="1" applyBorder="1" applyAlignment="1">
      <x:alignment wrapText="1"/>
    </x:xf>
    <x:xf numFmtId="0" fontId="7" fillId="7" borderId="10" xfId="0" applyNumberFormat="1" applyFont="1" applyFill="1" applyBorder="1" applyAlignment="1">
      <x:alignment wrapText="1"/>
    </x:xf>
    <x:xf numFmtId="0" fontId="7" fillId="7" borderId="11" xfId="0" applyNumberFormat="1" applyFont="1" applyFill="1" applyBorder="1" applyAlignment="1">
      <x:alignment wrapText="1"/>
    </x:xf>
    <x:xf numFmtId="0" fontId="7" fillId="7" borderId="12" xfId="0" applyNumberFormat="1" applyFont="1" applyFill="1" applyBorder="1" applyAlignment="1">
      <x:alignment wrapText="1"/>
    </x:xf>
    <x:xf numFmtId="0" fontId="8" fillId="0" borderId="5" xfId="0" applyNumberFormat="1" applyFont="1" applyFill="1" applyBorder="1" applyAlignment="1">
      <x:alignment vertical="top"/>
    </x:xf>
    <x:xf numFmtId="0" fontId="8" fillId="0" borderId="8" xfId="0" applyNumberFormat="1" applyFont="1" applyFill="1" applyBorder="1" applyAlignment="1">
      <x:alignment vertical="top"/>
    </x:xf>
    <x:xf numFmtId="0" fontId="8" fillId="0" borderId="11" xfId="0" applyNumberFormat="1" applyFont="1" applyFill="1" applyBorder="1" applyAlignment="1">
      <x:alignment vertical="top"/>
    </x:xf>
    <x:xf numFmtId="0" fontId="0" fillId="0" borderId="4" xfId="0" applyNumberFormat="1" applyFont="1" applyFill="1" applyBorder="1" applyAlignment="1">
      <x:alignment vertical="top" wrapText="1"/>
    </x:xf>
    <x:xf numFmtId="0" fontId="8" fillId="0" borderId="5" xfId="0" applyNumberFormat="1" applyFont="1" applyFill="1" applyBorder="1" applyAlignment="1">
      <x:alignment vertical="top" wrapText="1"/>
    </x:xf>
    <x:xf numFmtId="0" fontId="0" fillId="0" borderId="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7" xfId="0" applyNumberFormat="1" applyFont="1" applyFill="1" applyBorder="1" applyAlignment="1">
      <x:alignment vertical="top" wrapText="1"/>
    </x:xf>
    <x:xf numFmtId="0" fontId="8" fillId="0" borderId="8" xfId="0" applyNumberFormat="1" applyFont="1" applyFill="1" applyBorder="1" applyAlignment="1">
      <x:alignment vertical="top" wrapText="1"/>
    </x:xf>
    <x:xf numFmtId="0" fontId="0" fillId="0" borderId="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0" xfId="0" applyNumberFormat="1" applyFont="1" applyFill="1" applyBorder="1" applyAlignment="1">
      <x:alignment vertical="top" wrapText="1"/>
    </x:xf>
    <x:xf numFmtId="0" fontId="8" fillId="0" borderId="11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6" fillId="7" borderId="0" xfId="0" applyNumberFormat="1" applyFont="1" applyFill="1" applyBorder="1"/>
    <x:xf numFmtId="0" fontId="6" fillId="7" borderId="4" xfId="0" applyNumberFormat="1" applyFont="1" applyFill="1" applyBorder="1"/>
    <x:xf numFmtId="0" fontId="6" fillId="7" borderId="5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6" fillId="7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6" fillId="7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6" fillId="7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6" fillId="7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6" fillId="7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0" fillId="8" borderId="0" xfId="0" applyNumberFormat="1" applyFont="1" applyFill="1" applyBorder="1"/>
    <x:xf numFmtId="0" fontId="10" fillId="8" borderId="0" xfId="0" applyNumberFormat="1" applyFont="1" applyFill="1" applyBorder="1"/>
    <x:xf numFmtId="0" fontId="10" fillId="8" borderId="14" xfId="0" applyNumberFormat="1" applyFont="1" applyFill="1" applyBorder="1"/>
    <x:xf numFmtId="0" fontId="10" fillId="8" borderId="15" xfId="0" applyNumberFormat="1" applyFont="1" applyFill="1" applyBorder="1"/>
    <x:xf numFmtId="0" fontId="10" fillId="8" borderId="16" xfId="0" applyNumberFormat="1" applyFont="1" applyFill="1" applyBorder="1"/>
    <x:xf numFmtId="0" fontId="10" fillId="8" borderId="17" xfId="0" applyNumberFormat="1" applyFont="1" applyFill="1" applyBorder="1"/>
    <x:xf numFmtId="0" fontId="10" fillId="8" borderId="18" xfId="0" applyNumberFormat="1" applyFont="1" applyFill="1" applyBorder="1"/>
    <x:xf numFmtId="0" fontId="10" fillId="8" borderId="19" xfId="0" applyNumberFormat="1" applyFont="1" applyFill="1" applyBorder="1"/>
    <x:xf numFmtId="202" fontId="10" fillId="8" borderId="14" xfId="0" applyNumberFormat="1" applyFont="1" applyFill="1" applyBorder="1"/>
    <x:xf numFmtId="202" fontId="10" fillId="8" borderId="15" xfId="0" applyNumberFormat="1" applyFont="1" applyFill="1" applyBorder="1"/>
    <x:xf numFmtId="202" fontId="10" fillId="8" borderId="16" xfId="0" applyNumberFormat="1" applyFont="1" applyFill="1" applyBorder="1"/>
    <x:xf numFmtId="202" fontId="10" fillId="8" borderId="17" xfId="0" applyNumberFormat="1" applyFont="1" applyFill="1" applyBorder="1"/>
    <x:xf numFmtId="202" fontId="10" fillId="8" borderId="18" xfId="0" applyNumberFormat="1" applyFont="1" applyFill="1" applyBorder="1"/>
    <x:xf numFmtId="202" fontId="10" fillId="8" borderId="19" xfId="0" applyNumberFormat="1" applyFont="1" applyFill="1" applyBorder="1"/>
    <x:xf numFmtId="202" fontId="10" fillId="8" borderId="14" xfId="0" applyNumberFormat="1" applyFont="1" applyFill="1" applyBorder="1" applyAlignment="1">
      <x:alignment horizontal="center"/>
    </x:xf>
    <x:xf numFmtId="202" fontId="10" fillId="8" borderId="15" xfId="0" applyNumberFormat="1" applyFont="1" applyFill="1" applyBorder="1" applyAlignment="1">
      <x:alignment horizontal="center"/>
    </x:xf>
    <x:xf numFmtId="202" fontId="10" fillId="8" borderId="16" xfId="0" applyNumberFormat="1" applyFont="1" applyFill="1" applyBorder="1" applyAlignment="1">
      <x:alignment horizontal="center"/>
    </x:xf>
    <x:xf numFmtId="202" fontId="10" fillId="8" borderId="17" xfId="0" applyNumberFormat="1" applyFont="1" applyFill="1" applyBorder="1" applyAlignment="1">
      <x:alignment horizontal="center"/>
    </x:xf>
    <x:xf numFmtId="202" fontId="10" fillId="8" borderId="18" xfId="0" applyNumberFormat="1" applyFont="1" applyFill="1" applyBorder="1" applyAlignment="1">
      <x:alignment horizontal="center"/>
    </x:xf>
    <x:xf numFmtId="202" fontId="10" fillId="8" borderId="19" xfId="0" applyNumberFormat="1" applyFont="1" applyFill="1" applyBorder="1" applyAlignment="1">
      <x:alignment horizontal="center"/>
    </x:xf>
    <x:xf numFmtId="202" fontId="10" fillId="8" borderId="14" xfId="0" applyNumberFormat="1" applyFont="1" applyFill="1" applyBorder="1" applyAlignment="1">
      <x:alignment horizontal="center" vertical="center"/>
    </x:xf>
    <x:xf numFmtId="202" fontId="10" fillId="8" borderId="15" xfId="0" applyNumberFormat="1" applyFont="1" applyFill="1" applyBorder="1" applyAlignment="1">
      <x:alignment horizontal="center" vertical="center"/>
    </x:xf>
    <x:xf numFmtId="202" fontId="10" fillId="8" borderId="16" xfId="0" applyNumberFormat="1" applyFont="1" applyFill="1" applyBorder="1" applyAlignment="1">
      <x:alignment horizontal="center" vertical="center"/>
    </x:xf>
    <x:xf numFmtId="202" fontId="10" fillId="8" borderId="17" xfId="0" applyNumberFormat="1" applyFont="1" applyFill="1" applyBorder="1" applyAlignment="1">
      <x:alignment horizontal="center" vertical="center"/>
    </x:xf>
    <x:xf numFmtId="202" fontId="10" fillId="8" borderId="18" xfId="0" applyNumberFormat="1" applyFont="1" applyFill="1" applyBorder="1" applyAlignment="1">
      <x:alignment horizontal="center" vertical="center"/>
    </x:xf>
    <x:xf numFmtId="202" fontId="10" fillId="8" borderId="19" xfId="0" applyNumberFormat="1" applyFont="1" applyFill="1" applyBorder="1" applyAlignment="1">
      <x:alignment horizontal="center" vertical="center"/>
    </x:xf>
    <x:xf numFmtId="203" fontId="0" fillId="0" borderId="5" xfId="0" applyNumberFormat="1" applyFont="1" applyFill="1" applyBorder="1" applyAlignment="1">
      <x:alignment vertical="top"/>
    </x:xf>
    <x:xf numFmtId="203" fontId="0" fillId="0" borderId="8" xfId="0" applyNumberFormat="1" applyFont="1" applyFill="1" applyBorder="1" applyAlignment="1">
      <x:alignment vertical="top"/>
    </x:xf>
    <x:xf numFmtId="203" fontId="0" fillId="0" borderId="11" xfId="0" applyNumberFormat="1" applyFont="1" applyFill="1" applyBorder="1" applyAlignment="1">
      <x:alignment vertical="top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20" xfId="0" applyNumberFormat="1" applyFont="1" applyFill="1" applyBorder="1"/>
    <x:xf numFmtId="0" fontId="7" fillId="5" borderId="21" xfId="0" applyNumberFormat="1" applyFont="1" applyFill="1" applyBorder="1"/>
    <x:xf numFmtId="0" fontId="7" fillId="5" borderId="22" xfId="0" applyNumberFormat="1" applyFont="1" applyFill="1" applyBorder="1"/>
    <x:xf numFmtId="0" fontId="7" fillId="5" borderId="23" xfId="0" applyNumberFormat="1" applyFont="1" applyFill="1" applyBorder="1"/>
    <x:xf numFmtId="0" fontId="7" fillId="5" borderId="24" xfId="0" applyNumberFormat="1" applyFont="1" applyFill="1" applyBorder="1"/>
    <x:xf numFmtId="0" fontId="7" fillId="5" borderId="25" xfId="0" applyNumberFormat="1" applyFont="1" applyFill="1" applyBorder="1"/>
    <x:xf numFmtId="0" fontId="7" fillId="5" borderId="20" xfId="0" applyNumberFormat="1" applyFont="1" applyFill="1" applyBorder="1" applyAlignment="1">
      <x:alignment wrapText="1"/>
    </x:xf>
    <x:xf numFmtId="0" fontId="7" fillId="5" borderId="21" xfId="0" applyNumberFormat="1" applyFont="1" applyFill="1" applyBorder="1" applyAlignment="1">
      <x:alignment wrapText="1"/>
    </x:xf>
    <x:xf numFmtId="0" fontId="7" fillId="5" borderId="22" xfId="0" applyNumberFormat="1" applyFont="1" applyFill="1" applyBorder="1" applyAlignment="1">
      <x:alignment wrapText="1"/>
    </x:xf>
    <x:xf numFmtId="0" fontId="7" fillId="5" borderId="23" xfId="0" applyNumberFormat="1" applyFont="1" applyFill="1" applyBorder="1" applyAlignment="1">
      <x:alignment wrapText="1"/>
    </x:xf>
    <x:xf numFmtId="0" fontId="7" fillId="5" borderId="24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0" fillId="7" borderId="4" xfId="0" applyNumberFormat="1" applyFont="1" applyFill="1" applyBorder="1" applyAlignment="1">
      <x:alignment vertical="top" wrapText="1"/>
    </x:xf>
    <x:xf numFmtId="0" fontId="0" fillId="7" borderId="7" xfId="0" applyNumberFormat="1" applyFont="1" applyFill="1" applyBorder="1" applyAlignment="1">
      <x:alignment vertical="top" wrapText="1"/>
    </x:xf>
    <x:xf numFmtId="0" fontId="0" fillId="7" borderId="10" xfId="0" applyNumberFormat="1" applyFont="1" applyFill="1" applyBorder="1" applyAlignment="1">
      <x:alignment vertical="top" wrapText="1"/>
    </x:xf>
    <x:xf numFmtId="0" fontId="6" fillId="7" borderId="4" xfId="0" applyNumberFormat="1" applyFont="1" applyFill="1" applyBorder="1" applyAlignment="1">
      <x:alignment vertical="top" wrapText="1"/>
    </x:xf>
    <x:xf numFmtId="0" fontId="6" fillId="7" borderId="7" xfId="0" applyNumberFormat="1" applyFont="1" applyFill="1" applyBorder="1" applyAlignment="1">
      <x:alignment vertical="top" wrapText="1"/>
    </x:xf>
    <x:xf numFmtId="0" fontId="6" fillId="7" borderId="1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e8420ada2a4765" /><Relationship Type="http://schemas.openxmlformats.org/officeDocument/2006/relationships/theme" Target="/xl/theme/theme1.xml" Id="Radfe4dc361a24973" /><Relationship Type="http://schemas.microsoft.com/office/2022/11/relationships/FeaturePropertyBag" Target="/xl/featurePropertyBag/featurePropertyBag.xml" Id="Rfc2663ad48af458e" /><Relationship Type="http://schemas.openxmlformats.org/officeDocument/2006/relationships/sharedStrings" Target="/xl/sharedStrings.xml" Id="Rb880d8a0527b4918" /><Relationship Type="http://schemas.openxmlformats.org/officeDocument/2006/relationships/worksheet" Target="/xl/worksheets/sheet1.xml" Id="R383d00e34c9a456d" /><Relationship Type="http://schemas.openxmlformats.org/officeDocument/2006/relationships/worksheet" Target="/xl/worksheets/sheet2.xml" Id="R5998e4bf65b84e71" /><Relationship Type="http://schemas.openxmlformats.org/officeDocument/2006/relationships/worksheet" Target="/xl/worksheets/sheet3.xml" Id="R8f5e41ea727f4a10" /><Relationship Type="http://schemas.openxmlformats.org/officeDocument/2006/relationships/worksheet" Target="/xl/worksheets/sheet4.xml" Id="Ra6170b3814c4469f" /><Relationship Type="http://schemas.openxmlformats.org/officeDocument/2006/relationships/worksheet" Target="/xl/worksheets/sheet5.xml" Id="R112f899517494265" /><Relationship Type="http://schemas.microsoft.com/office/2017/10/relationships/person" Target="/xl/persons/person.xml" Id="R24160edbb0df462c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User" id="{0234A773-19DC-4219-B633-CFC0E03DC2EB}"/>
</xltc:personList>
</file>

<file path=xl/tables/table1.xml><?xml version="1.0" encoding="utf-8"?>
<x:table xmlns:x="http://schemas.openxmlformats.org/spreadsheetml/2006/main" id="1" name="SelectedRecordsTable" displayName="SelectedRecordsTable" ref="A4:U11" headerRowCount="1" totalsRowCount="0" totalsRowShown="0">
  <x:tableColumns count="21">
    <x:tableColumn id="1" name="record_public_id"/>
    <x:tableColumn id="2" name="analytics_group_id"/>
    <x:tableColumn id="3" name="dataset"/>
    <x:tableColumn id="4" name="item_code"/>
    <x:tableColumn id="5" name="canonical_description_zh"/>
    <x:tableColumn id="6" name="raw_description"/>
    <x:tableColumn id="7" name="price_semantic"/>
    <x:tableColumn id="8" name="standard_unit"/>
    <x:tableColumn id="9" name="standard_quote_type"/>
    <x:tableColumn id="10" name="scope_signature"/>
    <x:tableColumn id="11" name="unit_cost_basis"/>
    <x:tableColumn id="12" name="transport_inclusion"/>
    <x:tableColumn id="13" name="original_currency"/>
    <x:tableColumn id="14" name="original_value"/>
    <x:tableColumn id="15" name="exchange_rate_used"/>
    <x:tableColumn id="16" name="mop_value"/>
    <x:tableColumn id="17" name="document_date"/>
    <x:tableColumn id="18" name="counterparty"/>
    <x:tableColumn id="19" name="was_selected"/>
    <x:tableColumn id="20" name="source_reference"/>
    <x:tableColumn id="21" name="source_locato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SourceEvidenceTable" displayName="SourceEvidenceTable" ref="A4:P11" headerRowCount="1" totalsRowCount="0" totalsRowShown="0">
  <x:tableColumns count="16">
    <x:tableColumn id="1" name="record_public_id"/>
    <x:tableColumn id="2" name="document_reference"/>
    <x:tableColumn id="3" name="original_filename"/>
    <x:tableColumn id="4" name="document_type"/>
    <x:tableColumn id="5" name="document_date"/>
    <x:tableColumn id="6" name="source_locator"/>
    <x:tableColumn id="7" name="sha256"/>
    <x:tableColumn id="8" name="raw_description"/>
    <x:tableColumn id="9" name="raw_value_text"/>
    <x:tableColumn id="10" name="original_value"/>
    <x:tableColumn id="11" name="currency"/>
    <x:tableColumn id="12" name="exchange_rate_used"/>
    <x:tableColumn id="13" name="mop_value"/>
    <x:tableColumn id="14" name="was_selected"/>
    <x:tableColumn id="15" name="confirmation_evidence_type"/>
    <x:tableColumn id="16" name="confirmation_evidence_re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FieldDefinitionsTable" displayName="FieldDefinitionsTable" ref="A4:E22" headerRowCount="1" totalsRowCount="0" totalsRowShown="0">
  <x:tableColumns count="5">
    <x:tableColumn id="1" name="field_identifier"/>
    <x:tableColumn id="2" name="中文名稱"/>
    <x:tableColumn id="3" name="Definition／allowed values"/>
    <x:tableColumn id="4" name="Analytics effect"/>
    <x:tableColumn id="5" name="Examp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K5" dT="2026-07-31T21:54:47.095" personId="{0234A773-19DC-4219-B633-CFC0E03DC2EB}" id="{50440FD1-8DAF-6B6C-FE80-EC3F90942676}">
    <xltc:text>統計門檻：只有n≥2才計算min／max／average／median；本欄公式直接引用『已選資料』的MOP值。</xltc:text>
  </xltc:threadedComment>
  <xltc:threadedComment ref="O5" dT="2026-07-31T21:54:47.095" personId="{0234A773-19DC-4219-B633-CFC0E03DC2EB}" id="{B6602FDD-6D8C-4AA9-57EF-E8FB1EA42AD3}">
    <xltc:text>百分位數只在n≥4顯示，採Excel PERCENTILE.INC等價口徑。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c1fdc161a93d404a" /><Relationship Type="http://schemas.openxmlformats.org/officeDocument/2006/relationships/vmlDrawing" Target="/xl/drawings/vmldrawing.vml" Id="R9d6db41b90eb4066" /><Relationship Type="http://schemas.microsoft.com/office/2017/10/relationships/threadedComment" Target="/xl/threadedcomments/threadedcomment.xml" Id="R806d77813c6c4dc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98e355c22f6942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8f0acf354234984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c40cd1bf42134d9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" hidden="0" customWidth="1"/>
    <x:col min="2" max="2" width="22" hidden="0" customWidth="1"/>
    <x:col min="3" max="3" width="22" hidden="0" customWidth="1"/>
    <x:col min="4" max="4" width="22" hidden="0" customWidth="1"/>
    <x:col min="5" max="5" width="20" hidden="0" customWidth="1"/>
    <x:col min="6" max="6" width="22" hidden="0" customWidth="1"/>
    <x:col min="7" max="7" width="22" hidden="0" customWidth="1"/>
    <x:col min="8" max="8" width="22" hidden="0" customWidth="1"/>
  </x:cols>
  <x:sheetData>
    <x:row r="1" ht="34" customHeight="1">
      <x:c r="A1" s="3" t="str">
        <x:v>JWC Search Analytics｜AL01 分析總覽</x:v>
      </x:c>
      <x:c r="B1" s="3"/>
      <x:c r="C1" s="3"/>
      <x:c r="D1" s="3"/>
      <x:c r="E1" s="3"/>
      <x:c r="F1" s="3"/>
      <x:c r="G1" s="3"/>
      <x:c r="H1" s="3"/>
    </x:row>
    <x:row r="2" ht="24" customHeight="1">
      <x:c r="A2" s="6" t="str">
        <x:v>系統版本 JWC Costing F0＋S1–S3 Redesign v001｜Generated 2026-08-01 16:30 HKT</x:v>
      </x:c>
      <x:c r="B2" s="6"/>
      <x:c r="C2" s="6"/>
      <x:c r="D2" s="6"/>
      <x:c r="E2" s="6"/>
      <x:c r="F2" s="6"/>
      <x:c r="G2" s="6"/>
      <x:c r="H2" s="6"/>
    </x:row>
    <x:row r="4" ht="24" customHeight="1">
      <x:c r="A4" s="122" t="str">
        <x:v>本次查詢｜Query Context</x:v>
      </x:c>
      <x:c r="B4" s="123" t="str">
        <x:v>本次查詢｜Query Context</x:v>
      </x:c>
      <x:c r="C4" s="123" t="str">
        <x:v>本次查詢｜Query Context</x:v>
      </x:c>
      <x:c r="D4" s="123" t="str">
        <x:v>本次查詢｜Query Context</x:v>
      </x:c>
      <x:c r="E4" s="123" t="str">
        <x:v>本次查詢｜Query Context</x:v>
      </x:c>
      <x:c r="F4" s="123" t="str">
        <x:v>本次查詢｜Query Context</x:v>
      </x:c>
      <x:c r="G4" s="123" t="str">
        <x:v>本次查詢｜Query Context</x:v>
      </x:c>
      <x:c r="H4" s="124" t="str">
        <x:v>本次查詢｜Query Context</x:v>
      </x:c>
    </x:row>
    <x:row r="5" ht="32" customHeight="1">
      <x:c r="A5" s="164" t="str">
        <x:v>Query</x:v>
      </x:c>
      <x:c r="B5" s="165" t="str">
        <x:v>AL01 waterproofing／防水</x:v>
      </x:c>
      <x:c r="C5" s="165"/>
      <x:c r="D5" s="165"/>
      <x:c r="E5" s="166" t="str">
        <x:v>Dataset</x:v>
      </x:c>
      <x:c r="F5" s="165" t="str">
        <x:v>S1＋S2＋S3</x:v>
      </x:c>
      <x:c r="G5" s="165"/>
      <x:c r="H5" s="167"/>
    </x:row>
    <x:row r="6" ht="32" customHeight="1">
      <x:c r="A6" s="168" t="str">
        <x:v>Filters</x:v>
      </x:c>
      <x:c r="B6" s="169" t="str">
        <x:v>曾選用：全部；日期：2024-01-01至2025-12-31；幣值：MOP view</x:v>
      </x:c>
      <x:c r="C6" s="169"/>
      <x:c r="D6" s="169"/>
      <x:c r="E6" s="170" t="str">
        <x:v>Sort</x:v>
      </x:c>
      <x:c r="F6" s="169" t="str">
        <x:v>Relevance</x:v>
      </x:c>
      <x:c r="G6" s="169"/>
      <x:c r="H6" s="171"/>
    </x:row>
    <x:row r="7" ht="32" customHeight="1">
      <x:c r="A7" s="172" t="str">
        <x:v>Selection snapshot</x:v>
      </x:c>
      <x:c r="B7" s="173" t="str">
        <x:v>5c3b463eba5497ebea7d0818dc9c934a975cb5ccecbc61e0cf2878d4de76a527</x:v>
      </x:c>
      <x:c r="C7" s="173"/>
      <x:c r="D7" s="173"/>
      <x:c r="E7" s="174" t="str">
        <x:v>Warning</x:v>
      </x:c>
      <x:c r="F7" s="173" t="str">
        <x:v>不同價格語義／單位／scope／basis／transport已自動分組；禁止跨組混算。</x:v>
      </x:c>
      <x:c r="G7" s="173"/>
      <x:c r="H7" s="175"/>
    </x:row>
    <x:row r="9" ht="24" customHeight="1">
      <x:c r="A9" s="122" t="str">
        <x:v>分析範圍｜Selection Summary</x:v>
      </x:c>
      <x:c r="B9" s="123" t="str">
        <x:v>分析範圍｜Selection Summary</x:v>
      </x:c>
      <x:c r="C9" s="123" t="str">
        <x:v>分析範圍｜Selection Summary</x:v>
      </x:c>
      <x:c r="D9" s="123" t="str">
        <x:v>分析範圍｜Selection Summary</x:v>
      </x:c>
      <x:c r="E9" s="123" t="str">
        <x:v>分析範圍｜Selection Summary</x:v>
      </x:c>
      <x:c r="F9" s="123" t="str">
        <x:v>分析範圍｜Selection Summary</x:v>
      </x:c>
      <x:c r="G9" s="123" t="str">
        <x:v>分析範圍｜Selection Summary</x:v>
      </x:c>
      <x:c r="H9" s="124" t="str">
        <x:v>分析範圍｜Selection Summary</x:v>
      </x:c>
    </x:row>
    <x:row r="10">
      <x:c r="A10" s="177" t="str">
        <x:v>選取筆數｜Selected records</x:v>
      </x:c>
      <x:c r="B10" s="177"/>
      <x:c r="C10" s="177"/>
      <x:c r="D10" s="177"/>
      <x:c r="E10" s="177" t="str">
        <x:v>分析組數｜Analytics groups</x:v>
      </x:c>
      <x:c r="F10" s="177"/>
      <x:c r="G10" s="177"/>
      <x:c r="H10" s="177"/>
    </x:row>
    <x:row r="11" ht="30" customHeight="1">
      <x:c r="A11" s="198" t="n">
        <x:f>COUNTA('已選資料'!$A$5:$A$11)</x:f>
        <x:v>7</x:v>
      </x:c>
      <x:c r="B11" s="199"/>
      <x:c r="C11" s="199"/>
      <x:c r="D11" s="199"/>
      <x:c r="E11" s="199" t="n">
        <x:f>COUNTA('分組統計'!$A$5:$A$7)</x:f>
        <x:v>3</x:v>
      </x:c>
      <x:c r="F11" s="199"/>
      <x:c r="G11" s="199"/>
      <x:c r="H11" s="200"/>
    </x:row>
    <x:row r="12" ht="30" customHeight="1">
      <x:c r="A12" s="201"/>
      <x:c r="B12" s="202"/>
      <x:c r="C12" s="202"/>
      <x:c r="D12" s="202"/>
      <x:c r="E12" s="202"/>
      <x:c r="F12" s="202"/>
      <x:c r="G12" s="202"/>
      <x:c r="H12" s="203"/>
    </x:row>
    <x:row r="14" ht="24" customHeight="1">
      <x:c r="A14" s="122" t="str">
        <x:v>匯率及口徑｜FX &amp; Calculation Basis</x:v>
      </x:c>
      <x:c r="B14" s="123" t="str">
        <x:v>匯率及口徑｜FX &amp; Calculation Basis</x:v>
      </x:c>
      <x:c r="C14" s="123" t="str">
        <x:v>匯率及口徑｜FX &amp; Calculation Basis</x:v>
      </x:c>
      <x:c r="D14" s="123" t="str">
        <x:v>匯率及口徑｜FX &amp; Calculation Basis</x:v>
      </x:c>
      <x:c r="E14" s="123" t="str">
        <x:v>匯率及口徑｜FX &amp; Calculation Basis</x:v>
      </x:c>
      <x:c r="F14" s="123" t="str">
        <x:v>匯率及口徑｜FX &amp; Calculation Basis</x:v>
      </x:c>
      <x:c r="G14" s="123" t="str">
        <x:v>匯率及口徑｜FX &amp; Calculation Basis</x:v>
      </x:c>
      <x:c r="H14" s="124" t="str">
        <x:v>匯率及口徑｜FX &amp; Calculation Basis</x:v>
      </x:c>
    </x:row>
    <x:row r="15" ht="30" customHeight="1">
      <x:c r="A15" s="14" t="str">
        <x:v>currency</x:v>
      </x:c>
      <x:c r="B15" s="15" t="str">
        <x:v>MOP rate</x:v>
      </x:c>
      <x:c r="C15" s="15" t="str">
        <x:v>effective_from</x:v>
      </x:c>
      <x:c r="D15" s="15" t="str">
        <x:v>source_reference</x:v>
      </x:c>
      <x:c r="E15" s="16" t="str">
        <x:v>usage</x:v>
      </x:c>
    </x:row>
    <x:row r="16">
      <x:c r="A16" s="30" t="str">
        <x:v>MOP</x:v>
      </x:c>
      <x:c r="B16" s="204" t="n">
        <x:v>1</x:v>
      </x:c>
      <x:c r="C16" s="45" t="n">
        <x:v>46235</x:v>
      </x:c>
      <x:c r="D16" s="31" t="str">
        <x:v>Base currency</x:v>
      </x:c>
      <x:c r="E16" s="33" t="str">
        <x:v>MOP source records</x:v>
      </x:c>
    </x:row>
    <x:row r="17">
      <x:c r="A17" s="34" t="str">
        <x:v>HKD</x:v>
      </x:c>
      <x:c r="B17" s="205" t="n">
        <x:v>1.126648853</x:v>
      </x:c>
      <x:c r="C17" s="46" t="n">
        <x:v>45755</x:v>
      </x:c>
      <x:c r="D17" s="35" t="str">
        <x:v>AL01 approved historical rate</x:v>
      </x:c>
      <x:c r="E17" s="37" t="str">
        <x:v>PR-AL01-007 snapshot</x:v>
      </x:c>
    </x:row>
    <x:row r="18">
      <x:c r="A18" s="38" t="str">
        <x:v>CNY</x:v>
      </x:c>
      <x:c r="B18" s="206" t="n">
        <x:v>1.13</x:v>
      </x:c>
      <x:c r="C18" s="47" t="n">
        <x:v>46235</x:v>
      </x:c>
      <x:c r="D18" s="39" t="str">
        <x:v>Current approved demonstration rate</x:v>
      </x:c>
      <x:c r="E18" s="41" t="str">
        <x:v>Not used by selected records</x:v>
      </x:c>
    </x:row>
    <x:row r="20" ht="34" customHeight="1">
      <x:c r="A20" s="215" t="str">
        <x:v>統計警告｜Statistics：只在每個analytics group內使用mop_value。n=1只顯示原值；n=2–3顯示min／max／average／median；n≥4再顯示P25／P75。</x:v>
      </x:c>
      <x:c r="B20" s="216"/>
      <x:c r="C20" s="216"/>
      <x:c r="D20" s="216"/>
      <x:c r="E20" s="216"/>
      <x:c r="F20" s="216"/>
      <x:c r="G20" s="216"/>
      <x:c r="H20" s="217"/>
    </x:row>
    <x:row r="21" ht="34" customHeight="1">
      <x:c r="A21" s="218" t="str">
        <x:v>私隱及安全｜Privacy：本報告不包含本機絕對路徑、帳戶、密碼或個人搜尋歷史。來源檔名為受控basename。</x:v>
      </x:c>
      <x:c r="B21" s="219"/>
      <x:c r="C21" s="219"/>
      <x:c r="D21" s="219"/>
      <x:c r="E21" s="219"/>
      <x:c r="F21" s="219"/>
      <x:c r="G21" s="219"/>
      <x:c r="H21" s="220"/>
    </x:row>
  </x:sheetData>
  <x:mergeCells>
    <x:mergeCell ref="A1:H1"/>
    <x:mergeCell ref="A2:H2"/>
    <x:mergeCell ref="A4:H4"/>
    <x:mergeCell ref="B5:D5"/>
    <x:mergeCell ref="B6:D6"/>
    <x:mergeCell ref="B7:D7"/>
    <x:mergeCell ref="F5:H5"/>
    <x:mergeCell ref="F6:H6"/>
    <x:mergeCell ref="F7:H7"/>
    <x:mergeCell ref="A9:H9"/>
    <x:mergeCell ref="A10:D10"/>
    <x:mergeCell ref="E10:H10"/>
    <x:mergeCell ref="A11:D12"/>
    <x:mergeCell ref="E11:H12"/>
    <x:mergeCell ref="A14:H14"/>
    <x:mergeCell ref="A20:H20"/>
    <x:mergeCell ref="A21:H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0" hidden="0" customWidth="1"/>
    <x:col min="3" max="3" width="10" hidden="0" customWidth="1"/>
    <x:col min="4" max="4" width="16" hidden="0" customWidth="1"/>
    <x:col min="5" max="5" width="29" hidden="0" customWidth="1"/>
    <x:col min="6" max="6" width="19" hidden="0" customWidth="1"/>
    <x:col min="7" max="7" width="19" hidden="0" customWidth="1"/>
    <x:col min="8" max="8" width="27" hidden="0" customWidth="1"/>
    <x:col min="9" max="9" width="27" hidden="0" customWidth="1"/>
    <x:col min="10" max="10" width="27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32" hidden="0" customWidth="1"/>
  </x:cols>
  <x:sheetData>
    <x:row r="1" ht="34" customHeight="1">
      <x:c r="A1" s="3" t="str">
        <x:v>分組統計｜Grouped Analytics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4" customHeight="1">
      <x:c r="A2" s="6" t="str">
        <x:v>八維group key完全相同才合併；不產生跨group平均、中位數或百分位數。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</x:row>
    <x:row r="4" ht="30" customHeight="1">
      <x:c r="A4" s="14" t="str">
        <x:v>analytics_group_id</x:v>
      </x:c>
      <x:c r="B4" s="15" t="str">
        <x:v>n</x:v>
      </x:c>
      <x:c r="C4" s="15" t="str">
        <x:v>dataset</x:v>
      </x:c>
      <x:c r="D4" s="15" t="str">
        <x:v>canonical_item</x:v>
      </x:c>
      <x:c r="E4" s="15" t="str">
        <x:v>price_semantic</x:v>
      </x:c>
      <x:c r="F4" s="15" t="str">
        <x:v>unit</x:v>
      </x:c>
      <x:c r="G4" s="15" t="str">
        <x:v>quote_type</x:v>
      </x:c>
      <x:c r="H4" s="15" t="str">
        <x:v>scope_signature</x:v>
      </x:c>
      <x:c r="I4" s="15" t="str">
        <x:v>unit_cost_basis</x:v>
      </x:c>
      <x:c r="J4" s="15" t="str">
        <x:v>transport</x:v>
      </x:c>
      <x:c r="K4" s="15" t="str">
        <x:v>最低 min</x:v>
      </x:c>
      <x:c r="L4" s="15" t="str">
        <x:v>最高 max</x:v>
      </x:c>
      <x:c r="M4" s="15" t="str">
        <x:v>平均 average</x:v>
      </x:c>
      <x:c r="N4" s="15" t="str">
        <x:v>中位 median</x:v>
      </x:c>
      <x:c r="O4" s="15" t="str">
        <x:v>P25</x:v>
      </x:c>
      <x:c r="P4" s="15" t="str">
        <x:v>P75</x:v>
      </x:c>
      <x:c r="Q4" s="15" t="str">
        <x:v>原值 original (n=1)</x:v>
      </x:c>
      <x:c r="R4" s="16" t="str">
        <x:v>門檻說明</x:v>
      </x:c>
    </x:row>
    <x:row r="5" ht="48" customHeight="1">
      <x:c r="A5" s="96" t="str">
        <x:v>G001</x:v>
      </x:c>
      <x:c r="B5" s="108" t="n">
        <x:f>COUNTA('已選資料'!$A$5:$A$8)</x:f>
        <x:v>4</x:v>
      </x:c>
      <x:c r="C5" s="31" t="str">
        <x:v>S3</x:v>
      </x:c>
      <x:c r="D5" s="70" t="str">
        <x:v>AL01-WI-001</x:v>
      </x:c>
      <x:c r="E5" s="70" t="str">
        <x:v>OUTGOING_UNIT_PRICE</x:v>
      </x:c>
      <x:c r="F5" s="70" t="str">
        <x:v>m²</x:v>
      </x:c>
      <x:c r="G5" s="70" t="str">
        <x:v>LABOUR_AND_MATERIAL</x:v>
      </x:c>
      <x:c r="H5" s="70" t="str">
        <x:v>PREP+SEALANT+FINISH</x:v>
      </x:c>
      <x:c r="I5" s="70" t="str">
        <x:v>OUTGOING_UNIT_RATE</x:v>
      </x:c>
      <x:c r="J5" s="70" t="str">
        <x:v>INCLUDED</x:v>
      </x:c>
      <x:c r="K5" s="114" t="n">
        <x:f>IF(B5&gt;=2,MIN('已選資料'!$P$5:$P$8),"")</x:f>
        <x:v>19</x:v>
      </x:c>
      <x:c r="L5" s="114" t="n">
        <x:f>IF(B5&gt;=2,MAX('已選資料'!$P$5:$P$8),"")</x:f>
        <x:v>172.5</x:v>
      </x:c>
      <x:c r="M5" s="114" t="n">
        <x:f>IF(B5&gt;=2,AVERAGE('已選資料'!$P$5:$P$8),"")</x:f>
        <x:v>90.685</x:v>
      </x:c>
      <x:c r="N5" s="114" t="n">
        <x:f>IF(B5&gt;=2,MEDIAN('已選資料'!$P$5:$P$8),"")</x:f>
        <x:v>85.62</x:v>
      </x:c>
      <x:c r="O5" s="114" t="n">
        <x:f>IF(B5&gt;=4,PERCENTILE.INC('已選資料'!$P$5:$P$8,0.25),"")</x:f>
        <x:v>20.68</x:v>
      </x:c>
      <x:c r="P5" s="114" t="n">
        <x:f>IF(B5&gt;=4,PERCENTILE.INC('已選資料'!$P$5:$P$8,0.75),"")</x:f>
        <x:v>155.625</x:v>
      </x:c>
      <x:c r="Q5" s="114" t="str">
        <x:f>IF(B5=1,'已選資料'!$P$5,"")</x:f>
      </x:c>
      <x:c r="R5" s="75" t="str">
        <x:v>n≥4：顯示min、max、average、median、P25及P75。</x:v>
      </x:c>
    </x:row>
    <x:row r="6" ht="48" customHeight="1">
      <x:c r="A6" s="97" t="str">
        <x:v>G002</x:v>
      </x:c>
      <x:c r="B6" s="109" t="n">
        <x:f>COUNTA('已選資料'!$A$9:$A$10)</x:f>
        <x:v>2</x:v>
      </x:c>
      <x:c r="C6" s="35" t="str">
        <x:v>S1</x:v>
      </x:c>
      <x:c r="D6" s="77" t="str">
        <x:v>AL01-WI-014</x:v>
      </x:c>
      <x:c r="E6" s="77" t="str">
        <x:v>SUBCONTRACTOR_QUOTED_RATE</x:v>
      </x:c>
      <x:c r="F6" s="77" t="str">
        <x:v>item</x:v>
      </x:c>
      <x:c r="G6" s="77" t="str">
        <x:v>LUMP_SUM</x:v>
      </x:c>
      <x:c r="H6" s="77" t="str">
        <x:v>LABOUR+MATERIAL+TEST</x:v>
      </x:c>
      <x:c r="I6" s="77" t="str">
        <x:v>LUMP_SUM_ITEM</x:v>
      </x:c>
      <x:c r="J6" s="77" t="str">
        <x:v>INCLUDED</x:v>
      </x:c>
      <x:c r="K6" s="115" t="n">
        <x:f>IF(B6&gt;=2,MIN('已選資料'!$P$9:$P$10),"")</x:f>
        <x:v>3200</x:v>
      </x:c>
      <x:c r="L6" s="115" t="n">
        <x:f>IF(B6&gt;=2,MAX('已選資料'!$P$9:$P$10),"")</x:f>
        <x:v>3240</x:v>
      </x:c>
      <x:c r="M6" s="115" t="n">
        <x:f>IF(B6&gt;=2,AVERAGE('已選資料'!$P$9:$P$10),"")</x:f>
        <x:v>3220</x:v>
      </x:c>
      <x:c r="N6" s="115" t="n">
        <x:f>IF(B6&gt;=2,MEDIAN('已選資料'!$P$9:$P$10),"")</x:f>
        <x:v>3220</x:v>
      </x:c>
      <x:c r="O6" s="115" t="str">
        <x:f>IF(B6&gt;=4,PERCENTILE.INC('已選資料'!$P$9:$P$10,0.25),"")</x:f>
      </x:c>
      <x:c r="P6" s="115" t="str">
        <x:f>IF(B6&gt;=4,PERCENTILE.INC('已選資料'!$P$9:$P$10,0.75),"")</x:f>
      </x:c>
      <x:c r="Q6" s="115" t="str">
        <x:f>IF(B6=1,'已選資料'!$P$9,"")</x:f>
      </x:c>
      <x:c r="R6" s="82" t="str">
        <x:v>n=2–3：P25及P75留空。</x:v>
      </x:c>
    </x:row>
    <x:row r="7" ht="48" customHeight="1">
      <x:c r="A7" s="98" t="str">
        <x:v>G003</x:v>
      </x:c>
      <x:c r="B7" s="110" t="n">
        <x:f>COUNTA('已選資料'!$A$11:$A$11)</x:f>
        <x:v>1</x:v>
      </x:c>
      <x:c r="C7" s="39" t="str">
        <x:v>S2</x:v>
      </x:c>
      <x:c r="D7" s="84" t="str">
        <x:v>AL01-WI-021</x:v>
      </x:c>
      <x:c r="E7" s="84" t="str">
        <x:v>SUPPLIER_QUOTED_UNIT_PRICE</x:v>
      </x:c>
      <x:c r="F7" s="84" t="str">
        <x:v>set</x:v>
      </x:c>
      <x:c r="G7" s="84" t="str">
        <x:v>MATERIAL_ONLY</x:v>
      </x:c>
      <x:c r="H7" s="84" t="str">
        <x:v>MEMBRANE+PRIMER;QTY=17.25</x:v>
      </x:c>
      <x:c r="I7" s="84" t="str">
        <x:v>QUOTED_UNIT_RATE</x:v>
      </x:c>
      <x:c r="J7" s="84" t="str">
        <x:v>EXCLUDED</x:v>
      </x:c>
      <x:c r="K7" s="116" t="str">
        <x:f>IF(B7&gt;=2,MIN('已選資料'!$P$11:$P$11),"")</x:f>
      </x:c>
      <x:c r="L7" s="116" t="str">
        <x:f>IF(B7&gt;=2,MAX('已選資料'!$P$11:$P$11),"")</x:f>
      </x:c>
      <x:c r="M7" s="116" t="str">
        <x:f>IF(B7&gt;=2,AVERAGE('已選資料'!$P$11:$P$11),"")</x:f>
      </x:c>
      <x:c r="N7" s="116" t="str">
        <x:f>IF(B7&gt;=2,MEDIAN('已選資料'!$P$11:$P$11),"")</x:f>
      </x:c>
      <x:c r="O7" s="116" t="str">
        <x:f>IF(B7&gt;=4,PERCENTILE.INC('已選資料'!$P$11:$P$11,0.25),"")</x:f>
      </x:c>
      <x:c r="P7" s="116" t="str">
        <x:f>IF(B7&gt;=4,PERCENTILE.INC('已選資料'!$P$11:$P$11,0.75),"")</x:f>
      </x:c>
      <x:c r="Q7" s="116" t="n">
        <x:f>IF(B7=1,'已選資料'!$P$11,"")</x:f>
        <x:v>189.75</x:v>
      </x:c>
      <x:c r="R7" s="89" t="str">
        <x:v>n=1：只顯示原值；其餘統計留空。</x:v>
      </x:c>
    </x:row>
    <x:row r="10" ht="24" customHeight="1">
      <x:c r="A10" s="122" t="str">
        <x:v>統計安全規則｜Statistical Safety Rules</x:v>
      </x:c>
      <x:c r="B10" s="123" t="str">
        <x:v>統計安全規則｜Statistical Safety Rules</x:v>
      </x:c>
      <x:c r="C10" s="123" t="str">
        <x:v>統計安全規則｜Statistical Safety Rules</x:v>
      </x:c>
      <x:c r="D10" s="123" t="str">
        <x:v>統計安全規則｜Statistical Safety Rules</x:v>
      </x:c>
      <x:c r="E10" s="123" t="str">
        <x:v>統計安全規則｜Statistical Safety Rules</x:v>
      </x:c>
      <x:c r="F10" s="123" t="str">
        <x:v>統計安全規則｜Statistical Safety Rules</x:v>
      </x:c>
      <x:c r="G10" s="123" t="str">
        <x:v>統計安全規則｜Statistical Safety Rules</x:v>
      </x:c>
      <x:c r="H10" s="123" t="str">
        <x:v>統計安全規則｜Statistical Safety Rules</x:v>
      </x:c>
      <x:c r="I10" s="123" t="str">
        <x:v>統計安全規則｜Statistical Safety Rules</x:v>
      </x:c>
      <x:c r="J10" s="123" t="str">
        <x:v>統計安全規則｜Statistical Safety Rules</x:v>
      </x:c>
      <x:c r="K10" s="123" t="str">
        <x:v>統計安全規則｜Statistical Safety Rules</x:v>
      </x:c>
      <x:c r="L10" s="123" t="str">
        <x:v>統計安全規則｜Statistical Safety Rules</x:v>
      </x:c>
      <x:c r="M10" s="123" t="str">
        <x:v>統計安全規則｜Statistical Safety Rules</x:v>
      </x:c>
      <x:c r="N10" s="123" t="str">
        <x:v>統計安全規則｜Statistical Safety Rules</x:v>
      </x:c>
      <x:c r="O10" s="123" t="str">
        <x:v>統計安全規則｜Statistical Safety Rules</x:v>
      </x:c>
      <x:c r="P10" s="123" t="str">
        <x:v>統計安全規則｜Statistical Safety Rules</x:v>
      </x:c>
      <x:c r="Q10" s="123" t="str">
        <x:v>統計安全規則｜Statistical Safety Rules</x:v>
      </x:c>
      <x:c r="R10" s="124" t="str">
        <x:v>統計安全規則｜Statistical Safety Rules</x:v>
      </x:c>
    </x:row>
    <x:row r="11" ht="27" customHeight="1">
      <x:c r="A11" s="136" t="str">
        <x:v>1｜任何選取均保留及顯示；不同group只分區，不拒絕。</x:v>
      </x:c>
      <x:c r="B11" s="137"/>
      <x:c r="C11" s="137"/>
      <x:c r="D11" s="137"/>
      <x:c r="E11" s="137"/>
      <x:c r="F11" s="137"/>
      <x:c r="G11" s="137"/>
      <x:c r="H11" s="137"/>
      <x:c r="I11" s="137"/>
      <x:c r="J11" s="137"/>
      <x:c r="K11" s="137"/>
      <x:c r="L11" s="137"/>
      <x:c r="M11" s="137"/>
      <x:c r="N11" s="137"/>
      <x:c r="O11" s="137"/>
      <x:c r="P11" s="137"/>
      <x:c r="Q11" s="137"/>
      <x:c r="R11" s="138"/>
    </x:row>
    <x:row r="12" ht="27" customHeight="1">
      <x:c r="A12" s="139" t="str">
        <x:v>2｜八維key任一不同即分組；MOP/m²與MOP/item、不同semantic、scope、basis及transport均不可混算。</x:v>
      </x:c>
      <x:c r="B12" s="140"/>
      <x:c r="C12" s="140"/>
      <x:c r="D12" s="140"/>
      <x:c r="E12" s="140"/>
      <x:c r="F12" s="140"/>
      <x:c r="G12" s="140"/>
      <x:c r="H12" s="140"/>
      <x:c r="I12" s="140"/>
      <x:c r="J12" s="140"/>
      <x:c r="K12" s="140"/>
      <x:c r="L12" s="140"/>
      <x:c r="M12" s="140"/>
      <x:c r="N12" s="140"/>
      <x:c r="O12" s="140"/>
      <x:c r="P12" s="140"/>
      <x:c r="Q12" s="140"/>
      <x:c r="R12" s="141"/>
    </x:row>
    <x:row r="13" ht="27" customHeight="1">
      <x:c r="A13" s="139" t="str">
        <x:v>3｜頂部只顯示選取筆數及分析組數，不顯示混合價格統計。</x:v>
      </x:c>
      <x:c r="B13" s="140"/>
      <x:c r="C13" s="140"/>
      <x:c r="D13" s="140"/>
      <x:c r="E13" s="140"/>
      <x:c r="F13" s="140"/>
      <x:c r="G13" s="140"/>
      <x:c r="H13" s="140"/>
      <x:c r="I13" s="140"/>
      <x:c r="J13" s="140"/>
      <x:c r="K13" s="140"/>
      <x:c r="L13" s="140"/>
      <x:c r="M13" s="140"/>
      <x:c r="N13" s="140"/>
      <x:c r="O13" s="140"/>
      <x:c r="P13" s="140"/>
      <x:c r="Q13" s="140"/>
      <x:c r="R13" s="141"/>
    </x:row>
    <x:row r="14" ht="27" customHeight="1">
      <x:c r="A14" s="142" t="str">
        <x:v>4｜顯示值四捨五入至2位；公式使用未四捨五入的mop_value。</x:v>
      </x:c>
      <x:c r="B14" s="143"/>
      <x:c r="C14" s="143"/>
      <x:c r="D14" s="143"/>
      <x:c r="E14" s="143"/>
      <x:c r="F14" s="143"/>
      <x:c r="G14" s="143"/>
      <x:c r="H14" s="143"/>
      <x:c r="I14" s="143"/>
      <x:c r="J14" s="143"/>
      <x:c r="K14" s="143"/>
      <x:c r="L14" s="143"/>
      <x:c r="M14" s="143"/>
      <x:c r="N14" s="143"/>
      <x:c r="O14" s="143"/>
      <x:c r="P14" s="143"/>
      <x:c r="Q14" s="143"/>
      <x:c r="R14" s="144"/>
    </x:row>
  </x:sheetData>
  <x:mergeCells>
    <x:mergeCell ref="A1:R1"/>
    <x:mergeCell ref="A2:R2"/>
    <x:mergeCell ref="A10:R10"/>
    <x:mergeCell ref="A11:R11"/>
    <x:mergeCell ref="A12:R12"/>
    <x:mergeCell ref="A13:R13"/>
    <x:mergeCell ref="A14:R14"/>
  </x:mergeCells>
  <x:pageMargins left="0.7" right="0.7" top="0.75" bottom="0.75" header="0.3" footer="0.3"/>
  <x:legacyDrawing xmlns:r="http://schemas.openxmlformats.org/officeDocument/2006/relationships" r:id="R9d6db41b90eb4066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2" hidden="0" customWidth="1"/>
    <x:col min="3" max="3" width="12" hidden="0" customWidth="1"/>
    <x:col min="4" max="4" width="12" hidden="0" customWidth="1"/>
    <x:col min="5" max="5" width="28" hidden="0" customWidth="1"/>
    <x:col min="6" max="6" width="28" hidden="0" customWidth="1"/>
    <x:col min="7" max="7" width="28" hidden="0" customWidth="1"/>
    <x:col min="8" max="8" width="18" hidden="0" customWidth="1"/>
    <x:col min="9" max="9" width="18" hidden="0" customWidth="1"/>
    <x:col min="10" max="10" width="28" hidden="0" customWidth="1"/>
    <x:col min="11" max="11" width="2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  <x:col min="16" max="16" width="16" hidden="0" customWidth="1"/>
    <x:col min="17" max="17" width="13" hidden="0" customWidth="1"/>
    <x:col min="18" max="18" width="20" hidden="0" customWidth="1"/>
    <x:col min="19" max="19" width="13" hidden="0" customWidth="1"/>
    <x:col min="20" max="20" width="27" hidden="0" customWidth="1"/>
    <x:col min="21" max="21" width="27" hidden="0" customWidth="1"/>
  </x:cols>
  <x:sheetData>
    <x:row r="1" ht="34" customHeight="1">
      <x:c r="A1" s="3" t="str">
        <x:v>已選資料｜Selected Records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</x:row>
    <x:row r="2" ht="24" customHeight="1">
      <x:c r="A2" s="6" t="str">
        <x:v>全部已選business records；analytics_group_id只作本報告內追蹤，統計只在同組內進行。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  <x:c r="Q2" s="6"/>
      <x:c r="R2" s="6"/>
      <x:c r="S2" s="6"/>
      <x:c r="T2" s="6"/>
      <x:c r="U2" s="6"/>
    </x:row>
    <x:row r="4" ht="30" customHeight="1">
      <x:c r="A4" s="14" t="str">
        <x:v>record_public_id</x:v>
      </x:c>
      <x:c r="B4" s="15" t="str">
        <x:v>analytics_group_id</x:v>
      </x:c>
      <x:c r="C4" s="15" t="str">
        <x:v>dataset</x:v>
      </x:c>
      <x:c r="D4" s="15" t="str">
        <x:v>item_code</x:v>
      </x:c>
      <x:c r="E4" s="15" t="str">
        <x:v>canonical_description_zh</x:v>
      </x:c>
      <x:c r="F4" s="15" t="str">
        <x:v>raw_description</x:v>
      </x:c>
      <x:c r="G4" s="15" t="str">
        <x:v>price_semantic</x:v>
      </x:c>
      <x:c r="H4" s="15" t="str">
        <x:v>standard_unit</x:v>
      </x:c>
      <x:c r="I4" s="15" t="str">
        <x:v>standard_quote_type</x:v>
      </x:c>
      <x:c r="J4" s="15" t="str">
        <x:v>scope_signature</x:v>
      </x:c>
      <x:c r="K4" s="15" t="str">
        <x:v>unit_cost_basis</x:v>
      </x:c>
      <x:c r="L4" s="15" t="str">
        <x:v>transport_inclusion</x:v>
      </x:c>
      <x:c r="M4" s="15" t="str">
        <x:v>original_currency</x:v>
      </x:c>
      <x:c r="N4" s="15" t="str">
        <x:v>original_value</x:v>
      </x:c>
      <x:c r="O4" s="15" t="str">
        <x:v>exchange_rate_used</x:v>
      </x:c>
      <x:c r="P4" s="15" t="str">
        <x:v>mop_value</x:v>
      </x:c>
      <x:c r="Q4" s="15" t="str">
        <x:v>document_date</x:v>
      </x:c>
      <x:c r="R4" s="15" t="str">
        <x:v>counterparty</x:v>
      </x:c>
      <x:c r="S4" s="15" t="str">
        <x:v>was_selected</x:v>
      </x:c>
      <x:c r="T4" s="15" t="str">
        <x:v>source_reference</x:v>
      </x:c>
      <x:c r="U4" s="16" t="str">
        <x:v>source_locator</x:v>
      </x:c>
    </x:row>
    <x:row r="5" ht="33" customHeight="1">
      <x:c r="A5" s="51" t="str">
        <x:v>PR-AL01-001</x:v>
      </x:c>
      <x:c r="B5" s="63" t="str">
        <x:v>G001</x:v>
      </x:c>
      <x:c r="C5" s="52" t="str">
        <x:v>S3</x:v>
      </x:c>
      <x:c r="D5" s="52" t="str">
        <x:v>AL01-WI-001</x:v>
      </x:c>
      <x:c r="E5" s="69" t="str">
        <x:v>鋁窗防水收口工程</x:v>
      </x:c>
      <x:c r="F5" s="70" t="str">
        <x:v>Aluminium window waterproofing making good</x:v>
      </x:c>
      <x:c r="G5" s="70" t="str">
        <x:v>OUTGOING_UNIT_PRICE</x:v>
      </x:c>
      <x:c r="H5" s="70" t="str">
        <x:v>m²</x:v>
      </x:c>
      <x:c r="I5" s="70" t="str">
        <x:v>LABOUR_AND_MATERIAL</x:v>
      </x:c>
      <x:c r="J5" s="70" t="str">
        <x:v>PREP+SEALANT+FINISH</x:v>
      </x:c>
      <x:c r="K5" s="70" t="str">
        <x:v>OUTGOING_UNIT_RATE</x:v>
      </x:c>
      <x:c r="L5" s="70" t="str">
        <x:v>INCLUDED</x:v>
      </x:c>
      <x:c r="M5" s="70" t="str">
        <x:v>MOP</x:v>
      </x:c>
      <x:c r="N5" s="71" t="n">
        <x:v>21.24</x:v>
      </x:c>
      <x:c r="O5" s="71" t="n">
        <x:v>1</x:v>
      </x:c>
      <x:c r="P5" s="72" t="n">
        <x:v>21.24</x:v>
      </x:c>
      <x:c r="Q5" s="73" t="n">
        <x:v>45734</x:v>
      </x:c>
      <x:c r="R5" s="70" t="str">
        <x:v>AL01 Project A</x:v>
      </x:c>
      <x:c r="S5" s="74" t="b">
        <x:v>1</x:v>
      </x:c>
      <x:c r="T5" s="70" t="str">
        <x:v>AL01-FA-2025-01</x:v>
      </x:c>
      <x:c r="U5" s="75" t="str">
        <x:v>Sheet: Final Account / Row: 42</x:v>
      </x:c>
    </x:row>
    <x:row r="6" ht="33" customHeight="1">
      <x:c r="A6" s="53" t="str">
        <x:v>PR-AL01-002</x:v>
      </x:c>
      <x:c r="B6" s="64" t="str">
        <x:v>G001</x:v>
      </x:c>
      <x:c r="C6" s="54" t="str">
        <x:v>S3</x:v>
      </x:c>
      <x:c r="D6" s="54" t="str">
        <x:v>AL01-WI-001</x:v>
      </x:c>
      <x:c r="E6" s="76" t="str">
        <x:v>鋁窗防水收口工程</x:v>
      </x:c>
      <x:c r="F6" s="77" t="str">
        <x:v>Window perimeter waterproofing and finishing</x:v>
      </x:c>
      <x:c r="G6" s="77" t="str">
        <x:v>OUTGOING_UNIT_PRICE</x:v>
      </x:c>
      <x:c r="H6" s="77" t="str">
        <x:v>m²</x:v>
      </x:c>
      <x:c r="I6" s="77" t="str">
        <x:v>LABOUR_AND_MATERIAL</x:v>
      </x:c>
      <x:c r="J6" s="77" t="str">
        <x:v>PREP+SEALANT+FINISH</x:v>
      </x:c>
      <x:c r="K6" s="77" t="str">
        <x:v>OUTGOING_UNIT_RATE</x:v>
      </x:c>
      <x:c r="L6" s="77" t="str">
        <x:v>INCLUDED</x:v>
      </x:c>
      <x:c r="M6" s="77" t="str">
        <x:v>MOP</x:v>
      </x:c>
      <x:c r="N6" s="78" t="n">
        <x:v>19</x:v>
      </x:c>
      <x:c r="O6" s="78" t="n">
        <x:v>1</x:v>
      </x:c>
      <x:c r="P6" s="79" t="n">
        <x:v>19</x:v>
      </x:c>
      <x:c r="Q6" s="80" t="n">
        <x:v>45666</x:v>
      </x:c>
      <x:c r="R6" s="77" t="str">
        <x:v>AL01 Project B</x:v>
      </x:c>
      <x:c r="S6" s="81" t="b">
        <x:v>1</x:v>
      </x:c>
      <x:c r="T6" s="77" t="str">
        <x:v>AL01-FA-2025-02</x:v>
      </x:c>
      <x:c r="U6" s="82" t="str">
        <x:v>Sheet: Final Account / Row: 57</x:v>
      </x:c>
    </x:row>
    <x:row r="7" ht="33" customHeight="1">
      <x:c r="A7" s="53" t="str">
        <x:v>PR-AL01-003</x:v>
      </x:c>
      <x:c r="B7" s="64" t="str">
        <x:v>G001</x:v>
      </x:c>
      <x:c r="C7" s="54" t="str">
        <x:v>S3</x:v>
      </x:c>
      <x:c r="D7" s="54" t="str">
        <x:v>AL01-WI-001</x:v>
      </x:c>
      <x:c r="E7" s="76" t="str">
        <x:v>鋁窗防水收口工程</x:v>
      </x:c>
      <x:c r="F7" s="77" t="str">
        <x:v>Waterproofing to aluminium window surrounds</x:v>
      </x:c>
      <x:c r="G7" s="77" t="str">
        <x:v>OUTGOING_UNIT_PRICE</x:v>
      </x:c>
      <x:c r="H7" s="77" t="str">
        <x:v>m²</x:v>
      </x:c>
      <x:c r="I7" s="77" t="str">
        <x:v>LABOUR_AND_MATERIAL</x:v>
      </x:c>
      <x:c r="J7" s="77" t="str">
        <x:v>PREP+SEALANT+FINISH</x:v>
      </x:c>
      <x:c r="K7" s="77" t="str">
        <x:v>OUTGOING_UNIT_RATE</x:v>
      </x:c>
      <x:c r="L7" s="77" t="str">
        <x:v>INCLUDED</x:v>
      </x:c>
      <x:c r="M7" s="77" t="str">
        <x:v>MOP</x:v>
      </x:c>
      <x:c r="N7" s="78" t="n">
        <x:v>150</x:v>
      </x:c>
      <x:c r="O7" s="78" t="n">
        <x:v>1</x:v>
      </x:c>
      <x:c r="P7" s="79" t="n">
        <x:v>150</x:v>
      </x:c>
      <x:c r="Q7" s="80" t="n">
        <x:v>45618</x:v>
      </x:c>
      <x:c r="R7" s="77" t="str">
        <x:v>AL01 Project C</x:v>
      </x:c>
      <x:c r="S7" s="81" t="b">
        <x:v>0</x:v>
      </x:c>
      <x:c r="T7" s="77" t="str">
        <x:v>AL01-FA-2024-09</x:v>
      </x:c>
      <x:c r="U7" s="82" t="str">
        <x:v>Sheet: Cost Summary / Row: 31</x:v>
      </x:c>
    </x:row>
    <x:row r="8" ht="33" customHeight="1">
      <x:c r="A8" s="53" t="str">
        <x:v>PR-AL01-004</x:v>
      </x:c>
      <x:c r="B8" s="64" t="str">
        <x:v>G001</x:v>
      </x:c>
      <x:c r="C8" s="54" t="str">
        <x:v>S3</x:v>
      </x:c>
      <x:c r="D8" s="54" t="str">
        <x:v>AL01-WI-001</x:v>
      </x:c>
      <x:c r="E8" s="76" t="str">
        <x:v>鋁窗防水收口工程</x:v>
      </x:c>
      <x:c r="F8" s="77" t="str">
        <x:v>Complete window edge seal and finish</x:v>
      </x:c>
      <x:c r="G8" s="77" t="str">
        <x:v>OUTGOING_UNIT_PRICE</x:v>
      </x:c>
      <x:c r="H8" s="77" t="str">
        <x:v>m²</x:v>
      </x:c>
      <x:c r="I8" s="77" t="str">
        <x:v>LABOUR_AND_MATERIAL</x:v>
      </x:c>
      <x:c r="J8" s="77" t="str">
        <x:v>PREP+SEALANT+FINISH</x:v>
      </x:c>
      <x:c r="K8" s="77" t="str">
        <x:v>OUTGOING_UNIT_RATE</x:v>
      </x:c>
      <x:c r="L8" s="77" t="str">
        <x:v>INCLUDED</x:v>
      </x:c>
      <x:c r="M8" s="77" t="str">
        <x:v>MOP</x:v>
      </x:c>
      <x:c r="N8" s="78" t="n">
        <x:v>172.5</x:v>
      </x:c>
      <x:c r="O8" s="78" t="n">
        <x:v>1</x:v>
      </x:c>
      <x:c r="P8" s="79" t="n">
        <x:v>172.5</x:v>
      </x:c>
      <x:c r="Q8" s="80" t="n">
        <x:v>45519</x:v>
      </x:c>
      <x:c r="R8" s="77" t="str">
        <x:v>AL01 Project D</x:v>
      </x:c>
      <x:c r="S8" s="81" t="b">
        <x:v>1</x:v>
      </x:c>
      <x:c r="T8" s="77" t="str">
        <x:v>AL01-FA-2024-05</x:v>
      </x:c>
      <x:c r="U8" s="82" t="str">
        <x:v>PDF page 18 / Item 7.3</x:v>
      </x:c>
    </x:row>
    <x:row r="9" ht="33" customHeight="1">
      <x:c r="A9" s="53" t="str">
        <x:v>PR-AL01-005</x:v>
      </x:c>
      <x:c r="B9" s="64" t="str">
        <x:v>G002</x:v>
      </x:c>
      <x:c r="C9" s="54" t="str">
        <x:v>S1</x:v>
      </x:c>
      <x:c r="D9" s="54" t="str">
        <x:v>AL01-WI-014</x:v>
      </x:c>
      <x:c r="E9" s="76" t="str">
        <x:v>防水工程整項</x:v>
      </x:c>
      <x:c r="F9" s="77" t="str">
        <x:v>Complete waterproofing work item</x:v>
      </x:c>
      <x:c r="G9" s="77" t="str">
        <x:v>SUBCONTRACTOR_QUOTED_RATE</x:v>
      </x:c>
      <x:c r="H9" s="77" t="str">
        <x:v>item</x:v>
      </x:c>
      <x:c r="I9" s="77" t="str">
        <x:v>LUMP_SUM</x:v>
      </x:c>
      <x:c r="J9" s="77" t="str">
        <x:v>LABOUR+MATERIAL+TEST</x:v>
      </x:c>
      <x:c r="K9" s="77" t="str">
        <x:v>LUMP_SUM_ITEM</x:v>
      </x:c>
      <x:c r="L9" s="77" t="str">
        <x:v>INCLUDED</x:v>
      </x:c>
      <x:c r="M9" s="77" t="str">
        <x:v>MOP</x:v>
      </x:c>
      <x:c r="N9" s="78" t="n">
        <x:v>3240</x:v>
      </x:c>
      <x:c r="O9" s="78" t="n">
        <x:v>1</x:v>
      </x:c>
      <x:c r="P9" s="79" t="n">
        <x:v>3240</x:v>
      </x:c>
      <x:c r="Q9" s="80" t="n">
        <x:v>45750</x:v>
      </x:c>
      <x:c r="R9" s="77" t="str">
        <x:v>示例判頭 A</x:v>
      </x:c>
      <x:c r="S9" s="81" t="b">
        <x:v>1</x:v>
      </x:c>
      <x:c r="T9" s="77" t="str">
        <x:v>AL01-SC-Q-014</x:v>
      </x:c>
      <x:c r="U9" s="82" t="str">
        <x:v>PDF page 6 / Item W14</x:v>
      </x:c>
    </x:row>
    <x:row r="10" ht="33" customHeight="1">
      <x:c r="A10" s="53" t="str">
        <x:v>PR-AL01-006</x:v>
      </x:c>
      <x:c r="B10" s="64" t="str">
        <x:v>G002</x:v>
      </x:c>
      <x:c r="C10" s="54" t="str">
        <x:v>S1</x:v>
      </x:c>
      <x:c r="D10" s="54" t="str">
        <x:v>AL01-WI-014</x:v>
      </x:c>
      <x:c r="E10" s="76" t="str">
        <x:v>防水工程整項</x:v>
      </x:c>
      <x:c r="F10" s="77" t="str">
        <x:v>Waterproofing lump-sum item</x:v>
      </x:c>
      <x:c r="G10" s="77" t="str">
        <x:v>SUBCONTRACTOR_QUOTED_RATE</x:v>
      </x:c>
      <x:c r="H10" s="77" t="str">
        <x:v>item</x:v>
      </x:c>
      <x:c r="I10" s="77" t="str">
        <x:v>LUMP_SUM</x:v>
      </x:c>
      <x:c r="J10" s="77" t="str">
        <x:v>LABOUR+MATERIAL+TEST</x:v>
      </x:c>
      <x:c r="K10" s="77" t="str">
        <x:v>LUMP_SUM_ITEM</x:v>
      </x:c>
      <x:c r="L10" s="77" t="str">
        <x:v>INCLUDED</x:v>
      </x:c>
      <x:c r="M10" s="77" t="str">
        <x:v>MOP</x:v>
      </x:c>
      <x:c r="N10" s="78" t="n">
        <x:v>3200</x:v>
      </x:c>
      <x:c r="O10" s="78" t="n">
        <x:v>1</x:v>
      </x:c>
      <x:c r="P10" s="79" t="n">
        <x:v>3200</x:v>
      </x:c>
      <x:c r="Q10" s="80" t="n">
        <x:v>45745</x:v>
      </x:c>
      <x:c r="R10" s="77" t="str">
        <x:v>示例判頭 B</x:v>
      </x:c>
      <x:c r="S10" s="81" t="b">
        <x:v>0</x:v>
      </x:c>
      <x:c r="T10" s="77" t="str">
        <x:v>AL01-SC-Q-015</x:v>
      </x:c>
      <x:c r="U10" s="82" t="str">
        <x:v>Sheet: Quote / Row: 26</x:v>
      </x:c>
    </x:row>
    <x:row r="11" ht="33" customHeight="1">
      <x:c r="A11" s="55" t="str">
        <x:v>PR-AL01-007</x:v>
      </x:c>
      <x:c r="B11" s="65" t="str">
        <x:v>G003</x:v>
      </x:c>
      <x:c r="C11" s="56" t="str">
        <x:v>S2</x:v>
      </x:c>
      <x:c r="D11" s="56" t="str">
        <x:v>AL01-WI-021</x:v>
      </x:c>
      <x:c r="E11" s="83" t="str">
        <x:v>防水物料套裝</x:v>
      </x:c>
      <x:c r="F11" s="84" t="str">
        <x:v>Waterproofing material set</x:v>
      </x:c>
      <x:c r="G11" s="84" t="str">
        <x:v>SUPPLIER_QUOTED_UNIT_PRICE</x:v>
      </x:c>
      <x:c r="H11" s="84" t="str">
        <x:v>set</x:v>
      </x:c>
      <x:c r="I11" s="84" t="str">
        <x:v>MATERIAL_ONLY</x:v>
      </x:c>
      <x:c r="J11" s="84" t="str">
        <x:v>MEMBRANE+PRIMER;QTY=17.25</x:v>
      </x:c>
      <x:c r="K11" s="84" t="str">
        <x:v>QUOTED_UNIT_RATE</x:v>
      </x:c>
      <x:c r="L11" s="84" t="str">
        <x:v>EXCLUDED</x:v>
      </x:c>
      <x:c r="M11" s="84" t="str">
        <x:v>HKD</x:v>
      </x:c>
      <x:c r="N11" s="85" t="n">
        <x:v>168.42</x:v>
      </x:c>
      <x:c r="O11" s="85" t="n">
        <x:v>1.126648853</x:v>
      </x:c>
      <x:c r="P11" s="86" t="n">
        <x:v>189.75</x:v>
      </x:c>
      <x:c r="Q11" s="87" t="n">
        <x:v>45755</x:v>
      </x:c>
      <x:c r="R11" s="84" t="str">
        <x:v>示例供應商 A</x:v>
      </x:c>
      <x:c r="S11" s="88" t="b">
        <x:v>1</x:v>
      </x:c>
      <x:c r="T11" s="84" t="str">
        <x:v>AL01-SP-Q-021</x:v>
      </x:c>
      <x:c r="U11" s="89" t="str">
        <x:v>Sheet: Supplier Quote / Row: 19</x:v>
      </x:c>
    </x:row>
  </x:sheetData>
  <x:mergeCells>
    <x:mergeCell ref="A1:U1"/>
    <x:mergeCell ref="A2:U2"/>
  </x:mergeCells>
  <x:pageMargins left="0.7" right="0.7" top="0.75" bottom="0.75" header="0.3" footer="0.3"/>
  <x:tableParts count="1">
    <x:tablePart xmlns:r="http://schemas.openxmlformats.org/officeDocument/2006/relationships" r:id="R98e355c22f6942b3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7" hidden="0" customWidth="1"/>
    <x:col min="3" max="3" width="27" hidden="0" customWidth="1"/>
    <x:col min="4" max="4" width="13" hidden="0" customWidth="1"/>
    <x:col min="5" max="5" width="13" hidden="0" customWidth="1"/>
    <x:col min="6" max="6" width="31" hidden="0" customWidth="1"/>
    <x:col min="7" max="7" width="68" hidden="0" customWidth="1"/>
    <x:col min="8" max="8" width="36" hidden="0" customWidth="1"/>
    <x:col min="9" max="9" width="18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23" hidden="0" customWidth="1"/>
    <x:col min="15" max="15" width="23" hidden="0" customWidth="1"/>
    <x:col min="16" max="16" width="35" hidden="0" customWidth="1"/>
  </x:cols>
  <x:sheetData>
    <x:row r="1" ht="34" customHeight="1">
      <x:c r="A1" s="3" t="str">
        <x:v>來源證據｜Source Evidence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4" customHeight="1">
      <x:c r="A2" s="6" t="str">
        <x:v>每筆已選資料均可追溯至受控document、原filename、精確locator、SHA-256及曾選用證據。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  <x:c r="O2" s="6"/>
      <x:c r="P2" s="6"/>
    </x:row>
    <x:row r="4" ht="30" customHeight="1">
      <x:c r="A4" s="14" t="str">
        <x:v>record_public_id</x:v>
      </x:c>
      <x:c r="B4" s="15" t="str">
        <x:v>document_reference</x:v>
      </x:c>
      <x:c r="C4" s="15" t="str">
        <x:v>original_filename</x:v>
      </x:c>
      <x:c r="D4" s="15" t="str">
        <x:v>document_type</x:v>
      </x:c>
      <x:c r="E4" s="15" t="str">
        <x:v>document_date</x:v>
      </x:c>
      <x:c r="F4" s="15" t="str">
        <x:v>source_locator</x:v>
      </x:c>
      <x:c r="G4" s="15" t="str">
        <x:v>sha256</x:v>
      </x:c>
      <x:c r="H4" s="15" t="str">
        <x:v>raw_description</x:v>
      </x:c>
      <x:c r="I4" s="15" t="str">
        <x:v>raw_value_text</x:v>
      </x:c>
      <x:c r="J4" s="15" t="str">
        <x:v>original_value</x:v>
      </x:c>
      <x:c r="K4" s="15" t="str">
        <x:v>currency</x:v>
      </x:c>
      <x:c r="L4" s="15" t="str">
        <x:v>exchange_rate_used</x:v>
      </x:c>
      <x:c r="M4" s="15" t="str">
        <x:v>mop_value</x:v>
      </x:c>
      <x:c r="N4" s="15" t="str">
        <x:v>was_selected</x:v>
      </x:c>
      <x:c r="O4" s="15" t="str">
        <x:v>confirmation_evidence_type</x:v>
      </x:c>
      <x:c r="P4" s="16" t="str">
        <x:v>confirmation_evidence_reference</x:v>
      </x:c>
    </x:row>
    <x:row r="5" ht="42" customHeight="1">
      <x:c r="A5" s="148" t="str">
        <x:v>PR-AL01-001</x:v>
      </x:c>
      <x:c r="B5" s="70" t="str">
        <x:v>AL01-FA-2025-01</x:v>
      </x:c>
      <x:c r="C5" s="70" t="str">
        <x:v>AL01_controlled_source_01.xlsx</x:v>
      </x:c>
      <x:c r="D5" s="70" t="str">
        <x:v>XLSX</x:v>
      </x:c>
      <x:c r="E5" s="73" t="n">
        <x:v>45734</x:v>
      </x:c>
      <x:c r="F5" s="70" t="str">
        <x:v>Sheet: Final Account / Row: 42</x:v>
      </x:c>
      <x:c r="G5" s="149" t="str">
        <x:v>f7eaa5ea7db50977a888b337d0465d1d41f32b48a526710496b0a9c5515f45e0</x:v>
      </x:c>
      <x:c r="H5" s="70" t="str">
        <x:v>Aluminium window waterproofing making good</x:v>
      </x:c>
      <x:c r="I5" s="70" t="str">
        <x:v>21.24 MOP</x:v>
      </x:c>
      <x:c r="J5" s="71" t="n">
        <x:v>21.24</x:v>
      </x:c>
      <x:c r="K5" s="71" t="str">
        <x:v>MOP</x:v>
      </x:c>
      <x:c r="L5" s="71" t="n">
        <x:v>1</x:v>
      </x:c>
      <x:c r="M5" s="71" t="n">
        <x:v>21.24</x:v>
      </x:c>
      <x:c r="N5" s="150" t="b">
        <x:v>1</x:v>
      </x:c>
      <x:c r="O5" s="70" t="str">
        <x:v>AWARD_DOCUMENT</x:v>
      </x:c>
      <x:c r="P5" s="75" t="str">
        <x:v>Selected evidence for AL01-FA-2025-01</x:v>
      </x:c>
    </x:row>
    <x:row r="6" ht="42" customHeight="1">
      <x:c r="A6" s="151" t="str">
        <x:v>PR-AL01-002</x:v>
      </x:c>
      <x:c r="B6" s="77" t="str">
        <x:v>AL01-FA-2025-02</x:v>
      </x:c>
      <x:c r="C6" s="77" t="str">
        <x:v>AL01_controlled_source_02.xlsx</x:v>
      </x:c>
      <x:c r="D6" s="77" t="str">
        <x:v>XLSX</x:v>
      </x:c>
      <x:c r="E6" s="80" t="n">
        <x:v>45666</x:v>
      </x:c>
      <x:c r="F6" s="77" t="str">
        <x:v>Sheet: Final Account / Row: 57</x:v>
      </x:c>
      <x:c r="G6" s="152" t="str">
        <x:v>cd39b6ee46374d8f1aabf4b2f4f015212dc636ea918d1707613edbbd91bc5565</x:v>
      </x:c>
      <x:c r="H6" s="77" t="str">
        <x:v>Window perimeter waterproofing and finishing</x:v>
      </x:c>
      <x:c r="I6" s="77" t="str">
        <x:v>19 MOP</x:v>
      </x:c>
      <x:c r="J6" s="78" t="n">
        <x:v>19</x:v>
      </x:c>
      <x:c r="K6" s="78" t="str">
        <x:v>MOP</x:v>
      </x:c>
      <x:c r="L6" s="78" t="n">
        <x:v>1</x:v>
      </x:c>
      <x:c r="M6" s="78" t="n">
        <x:v>19</x:v>
      </x:c>
      <x:c r="N6" s="153" t="b">
        <x:v>1</x:v>
      </x:c>
      <x:c r="O6" s="77" t="str">
        <x:v>AWARD_DOCUMENT</x:v>
      </x:c>
      <x:c r="P6" s="82" t="str">
        <x:v>Selected evidence for AL01-FA-2025-02</x:v>
      </x:c>
    </x:row>
    <x:row r="7" ht="42" customHeight="1">
      <x:c r="A7" s="151" t="str">
        <x:v>PR-AL01-003</x:v>
      </x:c>
      <x:c r="B7" s="77" t="str">
        <x:v>AL01-FA-2024-09</x:v>
      </x:c>
      <x:c r="C7" s="77" t="str">
        <x:v>AL01_controlled_source_03.xlsx</x:v>
      </x:c>
      <x:c r="D7" s="77" t="str">
        <x:v>XLSX</x:v>
      </x:c>
      <x:c r="E7" s="80" t="n">
        <x:v>45618</x:v>
      </x:c>
      <x:c r="F7" s="77" t="str">
        <x:v>Sheet: Cost Summary / Row: 31</x:v>
      </x:c>
      <x:c r="G7" s="152" t="str">
        <x:v>9ea5da3b343240d1979c0c789b7a2c55b07970d7d04c43f12f0ff10794ae09df</x:v>
      </x:c>
      <x:c r="H7" s="77" t="str">
        <x:v>Waterproofing to aluminium window surrounds</x:v>
      </x:c>
      <x:c r="I7" s="77" t="str">
        <x:v>150 MOP</x:v>
      </x:c>
      <x:c r="J7" s="78" t="n">
        <x:v>150</x:v>
      </x:c>
      <x:c r="K7" s="78" t="str">
        <x:v>MOP</x:v>
      </x:c>
      <x:c r="L7" s="78" t="n">
        <x:v>1</x:v>
      </x:c>
      <x:c r="M7" s="78" t="n">
        <x:v>150</x:v>
      </x:c>
      <x:c r="N7" s="153" t="b">
        <x:v>0</x:v>
      </x:c>
      <x:c r="O7" s="77" t="str">
        <x:v>ADMIN_ATTESTATION</x:v>
      </x:c>
      <x:c r="P7" s="82" t="str">
        <x:v>Not-selected check for AL01-FA-2024-09</x:v>
      </x:c>
    </x:row>
    <x:row r="8" ht="42" customHeight="1">
      <x:c r="A8" s="151" t="str">
        <x:v>PR-AL01-004</x:v>
      </x:c>
      <x:c r="B8" s="77" t="str">
        <x:v>AL01-FA-2024-05</x:v>
      </x:c>
      <x:c r="C8" s="77" t="str">
        <x:v>AL01_controlled_source_04.pdf</x:v>
      </x:c>
      <x:c r="D8" s="77" t="str">
        <x:v>PDF</x:v>
      </x:c>
      <x:c r="E8" s="80" t="n">
        <x:v>45519</x:v>
      </x:c>
      <x:c r="F8" s="77" t="str">
        <x:v>PDF page 18 / Item 7.3</x:v>
      </x:c>
      <x:c r="G8" s="152" t="str">
        <x:v>366c65fc253db144a2d48f06cd76daca0d4608bcbd3bcbf65bb131f03e315c25</x:v>
      </x:c>
      <x:c r="H8" s="77" t="str">
        <x:v>Complete window edge seal and finish</x:v>
      </x:c>
      <x:c r="I8" s="77" t="str">
        <x:v>172.5 MOP</x:v>
      </x:c>
      <x:c r="J8" s="78" t="n">
        <x:v>172.5</x:v>
      </x:c>
      <x:c r="K8" s="78" t="str">
        <x:v>MOP</x:v>
      </x:c>
      <x:c r="L8" s="78" t="n">
        <x:v>1</x:v>
      </x:c>
      <x:c r="M8" s="78" t="n">
        <x:v>172.5</x:v>
      </x:c>
      <x:c r="N8" s="153" t="b">
        <x:v>1</x:v>
      </x:c>
      <x:c r="O8" s="77" t="str">
        <x:v>AWARD_DOCUMENT</x:v>
      </x:c>
      <x:c r="P8" s="82" t="str">
        <x:v>Selected evidence for AL01-FA-2024-05</x:v>
      </x:c>
    </x:row>
    <x:row r="9" ht="42" customHeight="1">
      <x:c r="A9" s="151" t="str">
        <x:v>PR-AL01-005</x:v>
      </x:c>
      <x:c r="B9" s="77" t="str">
        <x:v>AL01-SC-Q-014</x:v>
      </x:c>
      <x:c r="C9" s="77" t="str">
        <x:v>AL01_controlled_source_05.pdf</x:v>
      </x:c>
      <x:c r="D9" s="77" t="str">
        <x:v>PDF</x:v>
      </x:c>
      <x:c r="E9" s="80" t="n">
        <x:v>45750</x:v>
      </x:c>
      <x:c r="F9" s="77" t="str">
        <x:v>PDF page 6 / Item W14</x:v>
      </x:c>
      <x:c r="G9" s="152" t="str">
        <x:v>17f0bfafc36f56b8663a6c7c022c982510f1f7923f792aca3d9ee208d08a24b8</x:v>
      </x:c>
      <x:c r="H9" s="77" t="str">
        <x:v>Complete waterproofing work item</x:v>
      </x:c>
      <x:c r="I9" s="77" t="str">
        <x:v>3240 MOP</x:v>
      </x:c>
      <x:c r="J9" s="78" t="n">
        <x:v>3240</x:v>
      </x:c>
      <x:c r="K9" s="78" t="str">
        <x:v>MOP</x:v>
      </x:c>
      <x:c r="L9" s="78" t="n">
        <x:v>1</x:v>
      </x:c>
      <x:c r="M9" s="78" t="n">
        <x:v>3240</x:v>
      </x:c>
      <x:c r="N9" s="153" t="b">
        <x:v>1</x:v>
      </x:c>
      <x:c r="O9" s="77" t="str">
        <x:v>AWARD_DOCUMENT</x:v>
      </x:c>
      <x:c r="P9" s="82" t="str">
        <x:v>Selected evidence for AL01-SC-Q-014</x:v>
      </x:c>
    </x:row>
    <x:row r="10" ht="42" customHeight="1">
      <x:c r="A10" s="151" t="str">
        <x:v>PR-AL01-006</x:v>
      </x:c>
      <x:c r="B10" s="77" t="str">
        <x:v>AL01-SC-Q-015</x:v>
      </x:c>
      <x:c r="C10" s="77" t="str">
        <x:v>AL01_controlled_source_06.xlsx</x:v>
      </x:c>
      <x:c r="D10" s="77" t="str">
        <x:v>XLSX</x:v>
      </x:c>
      <x:c r="E10" s="80" t="n">
        <x:v>45745</x:v>
      </x:c>
      <x:c r="F10" s="77" t="str">
        <x:v>Sheet: Quote / Row: 26</x:v>
      </x:c>
      <x:c r="G10" s="152" t="str">
        <x:v>dc7d8c2294d695268dbc1aa6248b3f35c2c04fa8ea1f7c642435cdf97a83b4e5</x:v>
      </x:c>
      <x:c r="H10" s="77" t="str">
        <x:v>Waterproofing lump-sum item</x:v>
      </x:c>
      <x:c r="I10" s="77" t="str">
        <x:v>3200 MOP</x:v>
      </x:c>
      <x:c r="J10" s="78" t="n">
        <x:v>3200</x:v>
      </x:c>
      <x:c r="K10" s="78" t="str">
        <x:v>MOP</x:v>
      </x:c>
      <x:c r="L10" s="78" t="n">
        <x:v>1</x:v>
      </x:c>
      <x:c r="M10" s="78" t="n">
        <x:v>3200</x:v>
      </x:c>
      <x:c r="N10" s="153" t="b">
        <x:v>0</x:v>
      </x:c>
      <x:c r="O10" s="77" t="str">
        <x:v>ADMIN_ATTESTATION</x:v>
      </x:c>
      <x:c r="P10" s="82" t="str">
        <x:v>Not-selected check for AL01-SC-Q-015</x:v>
      </x:c>
    </x:row>
    <x:row r="11" ht="42" customHeight="1">
      <x:c r="A11" s="154" t="str">
        <x:v>PR-AL01-007</x:v>
      </x:c>
      <x:c r="B11" s="84" t="str">
        <x:v>AL01-SP-Q-021</x:v>
      </x:c>
      <x:c r="C11" s="84" t="str">
        <x:v>AL01_controlled_source_07.xlsx</x:v>
      </x:c>
      <x:c r="D11" s="84" t="str">
        <x:v>XLSX</x:v>
      </x:c>
      <x:c r="E11" s="87" t="n">
        <x:v>45755</x:v>
      </x:c>
      <x:c r="F11" s="84" t="str">
        <x:v>Sheet: Supplier Quote / Row: 19</x:v>
      </x:c>
      <x:c r="G11" s="155" t="str">
        <x:v>b379823d37db7aba5043e96787d48374a17465ed8aa409aac0482696073f8eb0</x:v>
      </x:c>
      <x:c r="H11" s="84" t="str">
        <x:v>Waterproofing material set</x:v>
      </x:c>
      <x:c r="I11" s="84" t="str">
        <x:v>168.42 HKD</x:v>
      </x:c>
      <x:c r="J11" s="85" t="n">
        <x:v>168.42</x:v>
      </x:c>
      <x:c r="K11" s="85" t="str">
        <x:v>HKD</x:v>
      </x:c>
      <x:c r="L11" s="85" t="n">
        <x:v>1.126648853</x:v>
      </x:c>
      <x:c r="M11" s="85" t="n">
        <x:v>189.75</x:v>
      </x:c>
      <x:c r="N11" s="156" t="b">
        <x:v>1</x:v>
      </x:c>
      <x:c r="O11" s="84" t="str">
        <x:v>AWARD_DOCUMENT</x:v>
      </x:c>
      <x:c r="P11" s="89" t="str">
        <x:v>Selected evidence for AL01-SP-Q-021</x:v>
      </x:c>
    </x:row>
  </x:sheetData>
  <x:mergeCells>
    <x:mergeCell ref="A1:P1"/>
    <x:mergeCell ref="A2:P2"/>
  </x:mergeCells>
  <x:pageMargins left="0.7" right="0.7" top="0.75" bottom="0.75" header="0.3" footer="0.3"/>
  <x:tableParts count="1">
    <x:tablePart xmlns:r="http://schemas.openxmlformats.org/officeDocument/2006/relationships" r:id="Rd8f0acf354234984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58" hidden="0" customWidth="1"/>
    <x:col min="4" max="4" width="34" hidden="0" customWidth="1"/>
    <x:col min="5" max="5" width="30" hidden="0" customWidth="1"/>
  </x:cols>
  <x:sheetData>
    <x:row r="1" ht="34" customHeight="1">
      <x:c r="A1" s="3" t="str">
        <x:v>欄位定義｜Field Definitions</x:v>
      </x:c>
      <x:c r="B1" s="3"/>
      <x:c r="C1" s="3"/>
      <x:c r="D1" s="3"/>
      <x:c r="E1" s="3"/>
    </x:row>
    <x:row r="2" ht="24" customHeight="1">
      <x:c r="A2" s="6" t="str">
        <x:v>價格語義、scope、basis、transport及統計門檻的共同business glossary。</x:v>
      </x:c>
      <x:c r="B2" s="6"/>
      <x:c r="C2" s="6"/>
      <x:c r="D2" s="6"/>
      <x:c r="E2" s="6"/>
    </x:row>
    <x:row r="4" ht="30" customHeight="1">
      <x:c r="A4" s="14" t="str">
        <x:v>field_identifier</x:v>
      </x:c>
      <x:c r="B4" s="15" t="str">
        <x:v>中文名稱</x:v>
      </x:c>
      <x:c r="C4" s="15" t="str">
        <x:v>Definition／allowed values</x:v>
      </x:c>
      <x:c r="D4" s="15" t="str">
        <x:v>Analytics effect</x:v>
      </x:c>
      <x:c r="E4" s="16" t="str">
        <x:v>Example</x:v>
      </x:c>
    </x:row>
    <x:row r="5" ht="42" customHeight="1">
      <x:c r="A5" s="224" t="str">
        <x:v>dataset_code</x:v>
      </x:c>
      <x:c r="B5" s="70" t="str">
        <x:v>資料集</x:v>
      </x:c>
      <x:c r="C5" s="70" t="str">
        <x:v>S1 判頭報價；S2 供應商報價；S3 歷史工程價格。</x:v>
      </x:c>
      <x:c r="D5" s="70" t="str">
        <x:v>group key dimension</x:v>
      </x:c>
      <x:c r="E5" s="75" t="str">
        <x:v>S1</x:v>
      </x:c>
    </x:row>
    <x:row r="6" ht="42" customHeight="1">
      <x:c r="A6" s="225" t="str">
        <x:v>canonical_work_item_id</x:v>
      </x:c>
      <x:c r="B6" s="77" t="str">
        <x:v>標準工項</x:v>
      </x:c>
      <x:c r="C6" s="77" t="str">
        <x:v>由批准canonical term＋standard unit形成的穩定ID。</x:v>
      </x:c>
      <x:c r="D6" s="77" t="str">
        <x:v>group key dimension</x:v>
      </x:c>
      <x:c r="E6" s="82" t="str">
        <x:v>AL01-WI-014</x:v>
      </x:c>
    </x:row>
    <x:row r="7" ht="42" customHeight="1">
      <x:c r="A7" s="225" t="str">
        <x:v>price_semantic</x:v>
      </x:c>
      <x:c r="B7" s="77" t="str">
        <x:v>價格語義</x:v>
      </x:c>
      <x:c r="C7" s="77" t="str">
        <x:v>批准values涵蓋判頭／供應商報價、實支÷project quantity、獨立運輸、材料連運輸、文件總額、開工估算、歷史出街及project成本組合。</x:v>
      </x:c>
      <x:c r="D7" s="77" t="str">
        <x:v>group key dimension；不同語義不混算</x:v>
      </x:c>
      <x:c r="E7" s="82" t="str">
        <x:v>OUTGOING_UNIT_PRICE</x:v>
      </x:c>
    </x:row>
    <x:row r="8" ht="42" customHeight="1">
      <x:c r="A8" s="225" t="str">
        <x:v>standard_unit</x:v>
      </x:c>
      <x:c r="B8" s="77" t="str">
        <x:v>標準單位</x:v>
      </x:c>
      <x:c r="C8" s="77" t="str">
        <x:v>批准單位碼，例如m²、m、item、set。</x:v>
      </x:c>
      <x:c r="D8" s="77" t="str">
        <x:v>group key dimension；不同單位不混算</x:v>
      </x:c>
      <x:c r="E8" s="82" t="str">
        <x:v>m²</x:v>
      </x:c>
    </x:row>
    <x:row r="9" ht="42" customHeight="1">
      <x:c r="A9" s="225" t="str">
        <x:v>standard_quote_type</x:v>
      </x:c>
      <x:c r="B9" s="77" t="str">
        <x:v>標準報價類型</x:v>
      </x:c>
      <x:c r="C9" s="77" t="str">
        <x:v>LABOUR_ONLY；LABOUR_AND_MATERIAL；MATERIAL_ONLY；LUMP_SUM；OTHER_STANDARDIZED。</x:v>
      </x:c>
      <x:c r="D9" s="77" t="str">
        <x:v>group key dimension</x:v>
      </x:c>
      <x:c r="E9" s="82" t="str">
        <x:v>LABOUR_AND_MATERIAL</x:v>
      </x:c>
    </x:row>
    <x:row r="10" ht="42" customHeight="1">
      <x:c r="A10" s="225" t="str">
        <x:v>scope_signature</x:v>
      </x:c>
      <x:c r="B10" s="77" t="str">
        <x:v>範圍簽章</x:v>
      </x:c>
      <x:c r="C10" s="77" t="str">
        <x:v>依批准token順序建立的scope文字及SHA-256；不可由Importer猜測。</x:v>
      </x:c>
      <x:c r="D10" s="77" t="str">
        <x:v>group key dimension</x:v>
      </x:c>
      <x:c r="E10" s="82" t="str">
        <x:v>PREP+SEALANT+FINISH</x:v>
      </x:c>
    </x:row>
    <x:row r="11" ht="42" customHeight="1">
      <x:c r="A11" s="225" t="str">
        <x:v>unit_cost_basis</x:v>
      </x:c>
      <x:c r="B11" s="77" t="str">
        <x:v>單價／數量基礎</x:v>
      </x:c>
      <x:c r="C11" s="77" t="str">
        <x:v>批准values包括quoted／outgoing unit rate、actual expense÷quantity、transport÷quantity、quote＋transport、printed total、opening estimate及confirmed buildup。</x:v>
      </x:c>
      <x:c r="D11" s="77" t="str">
        <x:v>group key dimension</x:v>
      </x:c>
      <x:c r="E11" s="82" t="str">
        <x:v>QUOTED_UNIT_RATE</x:v>
      </x:c>
    </x:row>
    <x:row r="12" ht="42" customHeight="1">
      <x:c r="A12" s="225" t="str">
        <x:v>transport_inclusion</x:v>
      </x:c>
      <x:c r="B12" s="77" t="str">
        <x:v>運輸包含狀態</x:v>
      </x:c>
      <x:c r="C12" s="77" t="str">
        <x:v>INCLUDED；EXCLUDED；SEPARATE_LINE；NOT_APPLICABLE；不能未知／未註明。</x:v>
      </x:c>
      <x:c r="D12" s="77" t="str">
        <x:v>group key dimension</x:v>
      </x:c>
      <x:c r="E12" s="82" t="str">
        <x:v>EXCLUDED</x:v>
      </x:c>
    </x:row>
    <x:row r="13" ht="42" customHeight="1">
      <x:c r="A13" s="225" t="str">
        <x:v>original_value</x:v>
      </x:c>
      <x:c r="B13" s="77" t="str">
        <x:v>原幣值</x:v>
      </x:c>
      <x:c r="C13" s="77" t="str">
        <x:v>來源文件中的已確認numeric price；以原currency保存。</x:v>
      </x:c>
      <x:c r="D13" s="77" t="str">
        <x:v>不可直接跨幣比較</x:v>
      </x:c>
      <x:c r="E13" s="82" t="str">
        <x:v>168.42 HKD</x:v>
      </x:c>
    </x:row>
    <x:row r="14" ht="42" customHeight="1">
      <x:c r="A14" s="225" t="str">
        <x:v>exchange_rate_used</x:v>
      </x:c>
      <x:c r="B14" s="77" t="str">
        <x:v>使用匯率</x:v>
      </x:c>
      <x:c r="C14" s="77" t="str">
        <x:v>該record發布時已批准／歷史匯率snapshot；MOP來源為1。</x:v>
      </x:c>
      <x:c r="D14" s="77" t="str">
        <x:v>original_value × rate → mop_value</x:v>
      </x:c>
      <x:c r="E14" s="82" t="str">
        <x:v>1.126648853</x:v>
      </x:c>
    </x:row>
    <x:row r="15" ht="42" customHeight="1">
      <x:c r="A15" s="225" t="str">
        <x:v>mop_value</x:v>
      </x:c>
      <x:c r="B15" s="77" t="str">
        <x:v>澳門元比較值</x:v>
      </x:c>
      <x:c r="C15" s="77" t="str">
        <x:v>統計使用的4位decimal值；顯示可四捨五入至2位。</x:v>
      </x:c>
      <x:c r="D15" s="77" t="str">
        <x:v>唯一統計數值欄</x:v>
      </x:c>
      <x:c r="E15" s="82" t="str">
        <x:v>189.75</x:v>
      </x:c>
    </x:row>
    <x:row r="16" ht="42" customHeight="1">
      <x:c r="A16" s="225" t="str">
        <x:v>was_selected</x:v>
      </x:c>
      <x:c r="B16" s="77" t="str">
        <x:v>曾選用</x:v>
      </x:c>
      <x:c r="C16" s="77" t="str">
        <x:v>明確TRUE／FALSE，並有award／PO／contract／final account／Admin attestation證據。</x:v>
      </x:c>
      <x:c r="D16" s="77" t="str">
        <x:v>filter／evidence；不改group key</x:v>
      </x:c>
      <x:c r="E16" s="82" t="str">
        <x:v>TRUE</x:v>
      </x:c>
    </x:row>
    <x:row r="17" ht="42" customHeight="1">
      <x:c r="A17" s="225" t="str">
        <x:v>analytics_group_id</x:v>
      </x:c>
      <x:c r="B17" s="77" t="str">
        <x:v>分析組ID</x:v>
      </x:c>
      <x:c r="C17" s="77" t="str">
        <x:v>本次export內按八維key穩定排序產生G001…；不是永久business ID。</x:v>
      </x:c>
      <x:c r="D17" s="77" t="str">
        <x:v>連結分組統計、已選資料及證據</x:v>
      </x:c>
      <x:c r="E17" s="82" t="str">
        <x:v>G003</x:v>
      </x:c>
    </x:row>
    <x:row r="18" ht="42" customHeight="1">
      <x:c r="A18" s="225" t="str">
        <x:v>n=1</x:v>
      </x:c>
      <x:c r="B18" s="77" t="str">
        <x:v>單一樣本門檻</x:v>
      </x:c>
      <x:c r="C18" s="77" t="str">
        <x:v>只顯示原值；min、max、average、median、P25、P75留空。</x:v>
      </x:c>
      <x:c r="D18" s="77" t="str">
        <x:v>防止誤導統計</x:v>
      </x:c>
      <x:c r="E18" s="82" t="str">
        <x:v>G003</x:v>
      </x:c>
    </x:row>
    <x:row r="19" ht="42" customHeight="1">
      <x:c r="A19" s="225" t="str">
        <x:v>n=2–3</x:v>
      </x:c>
      <x:c r="B19" s="77" t="str">
        <x:v>小樣本門檻</x:v>
      </x:c>
      <x:c r="C19" s="77" t="str">
        <x:v>顯示min、max、arithmetic average及median；P25／P75留空。</x:v>
      </x:c>
      <x:c r="D19" s="77" t="str">
        <x:v>有限描述統計</x:v>
      </x:c>
      <x:c r="E19" s="82" t="str">
        <x:v>G002</x:v>
      </x:c>
    </x:row>
    <x:row r="20" ht="42" customHeight="1">
      <x:c r="A20" s="225" t="str">
        <x:v>n≥4</x:v>
      </x:c>
      <x:c r="B20" s="77" t="str">
        <x:v>四分位門檻</x:v>
      </x:c>
      <x:c r="C20" s="77" t="str">
        <x:v>再顯示P25及P75；percentile採PERCENTILE.INC等價口徑。</x:v>
      </x:c>
      <x:c r="D20" s="77" t="str">
        <x:v>完整組內描述統計</x:v>
      </x:c>
      <x:c r="E20" s="82" t="str">
        <x:v>G001</x:v>
      </x:c>
    </x:row>
    <x:row r="21" ht="42" customHeight="1">
      <x:c r="A21" s="225" t="str">
        <x:v>cross_group_statistics</x:v>
      </x:c>
      <x:c r="B21" s="77" t="str">
        <x:v>跨組統計</x:v>
      </x:c>
      <x:c r="C21" s="77" t="str">
        <x:v>永不計算overall average、median或percentile。頂部只顯示選取筆數及分析組數。</x:v>
      </x:c>
      <x:c r="D21" s="77" t="str">
        <x:v>禁止</x:v>
      </x:c>
      <x:c r="E21" s="82" t="str">
        <x:v>Not applicable</x:v>
      </x:c>
    </x:row>
    <x:row r="22" ht="42" customHeight="1">
      <x:c r="A22" s="226" t="str">
        <x:v>source_locator</x:v>
      </x:c>
      <x:c r="B22" s="84" t="str">
        <x:v>來源定位</x:v>
      </x:c>
      <x:c r="C22" s="84" t="str">
        <x:v>PDF page或Excel sheet＋row，配合document hash、raw value及confirmation evidence。</x:v>
      </x:c>
      <x:c r="D22" s="84" t="str">
        <x:v>可追溯及受控下載</x:v>
      </x:c>
      <x:c r="E22" s="89" t="str">
        <x:v>Sheet: Quote / Row: 26</x:v>
      </x:c>
    </x:row>
  </x:sheetData>
  <x:mergeCells>
    <x:mergeCell ref="A1:E1"/>
    <x:mergeCell ref="A2:E2"/>
  </x:mergeCells>
  <x:pageMargins left="0.7" right="0.7" top="0.75" bottom="0.75" header="0.3" footer="0.3"/>
  <x:tableParts count="1">
    <x:tablePart xmlns:r="http://schemas.openxmlformats.org/officeDocument/2006/relationships" r:id="Rc40cd1bf42134d91"/>
  </x:tableParts>
</x:worksheet>
</file>